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ssumptions" sheetId="2" state="visible" r:id="rId2"/>
    <sheet name="Calculations" sheetId="3" state="visible" r:id="rId3"/>
    <sheet name="Revenue" sheetId="4" state="visible" r:id="rId4"/>
    <sheet name="Operating Costs" sheetId="5" state="visible" r:id="rId5"/>
    <sheet name="CAPEX Schedule" sheetId="6" state="visible" r:id="rId6"/>
    <sheet name="Debt Schedule" sheetId="7" state="visible" r:id="rId7"/>
    <sheet name="P&amp;L Statement" sheetId="8" state="visible" r:id="rId8"/>
    <sheet name="Cash Flow" sheetId="9" state="visible" r:id="rId9"/>
    <sheet name="Returns Analysis" sheetId="10" state="visible" r:id="rId10"/>
    <sheet name="Development Impact" sheetId="11" state="visible" r:id="rId11"/>
    <sheet name="Sensitivity Analysis" sheetId="12" state="visible" r:id="rId12"/>
    <sheet name="Document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FF"/>
    </font>
    <font>
      <b val="1"/>
      <color rgb="00FFFFFF"/>
    </font>
    <font>
      <b val="1"/>
    </font>
    <font>
      <b val="1"/>
      <i val="1"/>
    </font>
    <font>
      <b val="1"/>
      <color rgb="00FFFFFF"/>
      <sz val="16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FFE699"/>
        <bgColor rgb="00FFE699"/>
      </patternFill>
    </fill>
    <fill>
      <patternFill patternType="solid">
        <fgColor rgb="00D9D9D9"/>
        <bgColor rgb="00D9D9D9"/>
      </patternFill>
    </fill>
    <fill>
      <patternFill patternType="solid">
        <fgColor rgb="00C6E0B4"/>
        <bgColor rgb="00C6E0B4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3" fontId="4" fillId="3" borderId="1" pivotButton="0" quotePrefix="0" xfId="0"/>
    <xf numFmtId="0" fontId="0" fillId="3" borderId="1" pivotButton="0" quotePrefix="0" xfId="0"/>
    <xf numFmtId="0" fontId="4" fillId="3" borderId="1" pivotButton="0" quotePrefix="0" xfId="0"/>
    <xf numFmtId="0" fontId="5" fillId="0" borderId="1" pivotButton="0" quotePrefix="0" xfId="0"/>
    <xf numFmtId="164" fontId="4" fillId="3" borderId="1" pivotButton="0" quotePrefix="0" xfId="0"/>
    <xf numFmtId="0" fontId="4" fillId="0" borderId="0" pivotButton="0" quotePrefix="0" xfId="0"/>
    <xf numFmtId="3" fontId="0" fillId="4" borderId="0" pivotButton="0" quotePrefix="0" xfId="0"/>
    <xf numFmtId="0" fontId="4" fillId="5" borderId="0" applyAlignment="1" pivotButton="0" quotePrefix="0" xfId="0">
      <alignment horizontal="center" vertical="center"/>
    </xf>
    <xf numFmtId="0" fontId="4" fillId="6" borderId="0" pivotButton="0" quotePrefix="0" xfId="0"/>
    <xf numFmtId="3" fontId="0" fillId="0" borderId="0" pivotButton="0" quotePrefix="0" xfId="0"/>
    <xf numFmtId="0" fontId="4" fillId="7" borderId="0" pivotButton="0" quotePrefix="0" xfId="0"/>
    <xf numFmtId="0" fontId="4" fillId="5" borderId="0" pivotButton="0" quotePrefix="0" xfId="0"/>
    <xf numFmtId="3" fontId="4" fillId="0" borderId="0" pivotButton="0" quotePrefix="0" xfId="0"/>
    <xf numFmtId="0" fontId="6" fillId="2" borderId="0" pivotButton="0" quotePrefix="0" xfId="0"/>
    <xf numFmtId="0" fontId="7" fillId="6" borderId="0" pivotButton="0" quotePrefix="0" xfId="0"/>
    <xf numFmtId="165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</cols>
  <sheetData>
    <row r="1">
      <c r="A1" s="18" t="inlineStr">
        <is>
          <t>EXECUTIVE DASHBOARD</t>
        </is>
      </c>
    </row>
    <row r="3">
      <c r="A3" s="19" t="inlineStr">
        <is>
          <t>Project Overview</t>
        </is>
      </c>
    </row>
    <row r="4">
      <c r="A4" t="inlineStr">
        <is>
          <t>Total Investment (CAPEX)</t>
        </is>
      </c>
      <c r="B4" s="14">
        <f>Calculations!B10</f>
        <v/>
      </c>
      <c r="C4" t="inlineStr">
        <is>
          <t>XAF</t>
        </is>
      </c>
    </row>
    <row r="5">
      <c r="A5" t="inlineStr">
        <is>
          <t>Equity Required</t>
        </is>
      </c>
      <c r="B5" s="14">
        <f>B4*Assumptions!C125/100</f>
        <v/>
      </c>
      <c r="C5" t="inlineStr">
        <is>
          <t>XAF</t>
        </is>
      </c>
    </row>
    <row r="6">
      <c r="A6" t="inlineStr">
        <is>
          <t>Senior Debt</t>
        </is>
      </c>
      <c r="B6" s="14">
        <f>B4*Assumptions!C128/100</f>
        <v/>
      </c>
      <c r="C6" t="inlineStr">
        <is>
          <t>XAF</t>
        </is>
      </c>
    </row>
    <row r="7">
      <c r="A7" t="inlineStr">
        <is>
          <t>Mezzanine Debt</t>
        </is>
      </c>
      <c r="B7" s="14">
        <f>B4*Assumptions!C136/100</f>
        <v/>
      </c>
      <c r="C7" t="inlineStr">
        <is>
          <t>XAF</t>
        </is>
      </c>
    </row>
    <row r="8">
      <c r="A8" t="inlineStr">
        <is>
          <t>Grant Funding</t>
        </is>
      </c>
      <c r="B8" s="14">
        <f>Assumptions!C142</f>
        <v/>
      </c>
      <c r="C8" t="inlineStr">
        <is>
          <t>XAF</t>
        </is>
      </c>
    </row>
    <row r="9">
      <c r="A9" t="inlineStr"/>
      <c r="C9" t="inlineStr"/>
    </row>
    <row r="10">
      <c r="A10" t="inlineStr">
        <is>
          <t>Model Start Year</t>
        </is>
      </c>
      <c r="B10">
        <f>Assumptions!C5</f>
        <v/>
      </c>
      <c r="C10" t="inlineStr"/>
    </row>
    <row r="11">
      <c r="A11" t="inlineStr">
        <is>
          <t>Model Horizon</t>
        </is>
      </c>
      <c r="B11">
        <f>Assumptions!C6</f>
        <v/>
      </c>
      <c r="C11" t="inlineStr">
        <is>
          <t>years</t>
        </is>
      </c>
    </row>
    <row r="13">
      <c r="A13" s="19" t="inlineStr">
        <is>
          <t>Key Returns</t>
        </is>
      </c>
    </row>
    <row r="14">
      <c r="A14" t="inlineStr">
        <is>
          <t>Project IRR</t>
        </is>
      </c>
      <c r="B14" s="20">
        <f>'Returns Analysis'!C4</f>
        <v/>
      </c>
      <c r="C14" t="inlineStr">
        <is>
          <t>%</t>
        </is>
      </c>
    </row>
    <row r="15">
      <c r="A15" t="inlineStr">
        <is>
          <t>Equity IRR</t>
        </is>
      </c>
      <c r="B15" s="20">
        <f>'Returns Analysis'!C5</f>
        <v/>
      </c>
      <c r="C15" t="inlineStr">
        <is>
          <t>%</t>
        </is>
      </c>
    </row>
    <row r="16">
      <c r="A16" t="inlineStr">
        <is>
          <t>NPV @ 12%</t>
        </is>
      </c>
      <c r="B16" s="14">
        <f>'Returns Analysis'!C6</f>
        <v/>
      </c>
      <c r="C16" t="inlineStr">
        <is>
          <t>XAF</t>
        </is>
      </c>
    </row>
    <row r="17">
      <c r="A17" t="inlineStr">
        <is>
          <t>Min DSCR</t>
        </is>
      </c>
      <c r="B17" s="21">
        <f>'Returns Analysis'!C14</f>
        <v/>
      </c>
      <c r="C17" t="inlineStr">
        <is>
          <t>x</t>
        </is>
      </c>
    </row>
    <row r="18">
      <c r="A18" t="inlineStr">
        <is>
          <t>Avg EBITDA Margin</t>
        </is>
      </c>
      <c r="B18" s="20">
        <f>'Returns Analysis'!C10</f>
        <v/>
      </c>
      <c r="C18" t="inlineStr">
        <is>
          <t>%</t>
        </is>
      </c>
    </row>
    <row r="20">
      <c r="A20" s="19" t="inlineStr">
        <is>
          <t>Development Impact (Year 10)</t>
        </is>
      </c>
    </row>
    <row r="21">
      <c r="A21" t="inlineStr">
        <is>
          <t>Farmers Supported</t>
        </is>
      </c>
      <c r="B21" s="14">
        <f>'Development Impact'!L5</f>
        <v/>
      </c>
      <c r="C21" t="inlineStr">
        <is>
          <t>farmers</t>
        </is>
      </c>
    </row>
    <row r="22">
      <c r="A22" t="inlineStr">
        <is>
          <t>Jobs Created</t>
        </is>
      </c>
      <c r="B22" s="14">
        <f>'Development Impact'!L17</f>
        <v/>
      </c>
      <c r="C22" t="inlineStr">
        <is>
          <t>jobs</t>
        </is>
      </c>
    </row>
    <row r="23">
      <c r="A23" t="inlineStr">
        <is>
          <t>Production Volume</t>
        </is>
      </c>
      <c r="B23" s="14">
        <f>'Development Impact'!L24</f>
        <v/>
      </c>
      <c r="C23" t="inlineStr">
        <is>
          <t>tonnes</t>
        </is>
      </c>
    </row>
    <row r="24">
      <c r="A24" t="inlineStr">
        <is>
          <t>Cumulative Tax Revenue</t>
        </is>
      </c>
      <c r="B24" s="14">
        <f>'Development Impact'!L34</f>
        <v/>
      </c>
      <c r="C24" t="inlineStr">
        <is>
          <t>XAF</t>
        </is>
      </c>
    </row>
  </sheetData>
  <mergeCells count="4">
    <mergeCell ref="A1:D1"/>
    <mergeCell ref="A13:D13"/>
    <mergeCell ref="A3:D3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FINANCIAL MODEL - ASSUMPTIONS &amp; CONTROL PANEL</t>
        </is>
      </c>
    </row>
    <row r="2">
      <c r="A2" s="2" t="inlineStr">
        <is>
          <t>Instructions: ALL BLUE CELLS are inputs. Change these to update the entire model.</t>
        </is>
      </c>
    </row>
    <row r="4">
      <c r="A4" s="3" t="inlineStr">
        <is>
          <t>A. PROJECT TIMELINE &amp; PHASING</t>
        </is>
      </c>
    </row>
    <row r="5">
      <c r="A5" s="4" t="inlineStr">
        <is>
          <t>Model start year</t>
        </is>
      </c>
      <c r="B5" s="4" t="n"/>
      <c r="C5" s="5" t="n">
        <v>2026</v>
      </c>
      <c r="D5" s="6" t="inlineStr">
        <is>
          <t>INPUT</t>
        </is>
      </c>
    </row>
    <row r="6">
      <c r="A6" s="4" t="inlineStr">
        <is>
          <t>Model horizon (years)</t>
        </is>
      </c>
      <c r="B6" s="4" t="n"/>
      <c r="C6" s="7" t="n">
        <v>10</v>
      </c>
      <c r="D6" s="6" t="inlineStr">
        <is>
          <t>INPUT</t>
        </is>
      </c>
    </row>
    <row r="7">
      <c r="A7" s="4" t="inlineStr">
        <is>
          <t>Construction period - Phase 1 (months)</t>
        </is>
      </c>
      <c r="B7" s="4" t="n"/>
      <c r="C7" s="7" t="n">
        <v>18</v>
      </c>
      <c r="D7" s="6" t="inlineStr">
        <is>
          <t>INPUT</t>
        </is>
      </c>
    </row>
    <row r="8">
      <c r="A8" s="4" t="inlineStr">
        <is>
          <t>Construction period - Phase 2 (months)</t>
        </is>
      </c>
      <c r="B8" s="4" t="n"/>
      <c r="C8" s="7" t="n">
        <v>24</v>
      </c>
      <c r="D8" s="6" t="inlineStr">
        <is>
          <t>INPUT</t>
        </is>
      </c>
    </row>
    <row r="9">
      <c r="A9" s="4" t="inlineStr">
        <is>
          <t>Construction period - Phase 3 (months)</t>
        </is>
      </c>
      <c r="B9" s="4" t="n"/>
      <c r="C9" s="7" t="n">
        <v>36</v>
      </c>
      <c r="D9" s="6" t="inlineStr">
        <is>
          <t>INPUT</t>
        </is>
      </c>
    </row>
    <row r="11">
      <c r="A11" s="3" t="inlineStr">
        <is>
          <t>B. PRODUCTION &amp; CAPACITY</t>
        </is>
      </c>
    </row>
    <row r="12">
      <c r="A12" s="8" t="inlineStr">
        <is>
          <t>SEED PRODUCTION</t>
        </is>
      </c>
      <c r="B12" s="4" t="n"/>
      <c r="C12" s="4" t="n"/>
      <c r="D12" s="4" t="n"/>
    </row>
    <row r="13">
      <c r="A13" s="4" t="inlineStr">
        <is>
          <t>G0 seed import (tonnes/year)</t>
        </is>
      </c>
      <c r="B13" s="4" t="n"/>
      <c r="C13" s="5" t="n">
        <v>100</v>
      </c>
      <c r="D13" s="6" t="inlineStr">
        <is>
          <t>INPUT</t>
        </is>
      </c>
    </row>
    <row r="14">
      <c r="A14" s="4" t="inlineStr">
        <is>
          <t>Multiplication ratio (G0→G1)</t>
        </is>
      </c>
      <c r="B14" s="4" t="n"/>
      <c r="C14" s="7" t="n">
        <v>15</v>
      </c>
      <c r="D14" s="6" t="inlineStr">
        <is>
          <t>INPUT</t>
        </is>
      </c>
    </row>
    <row r="15">
      <c r="A15" s="4" t="inlineStr">
        <is>
          <t>Seed wastage factor (%)</t>
        </is>
      </c>
      <c r="B15" s="4" t="n"/>
      <c r="C15" s="7" t="n">
        <v>5</v>
      </c>
      <c r="D15" s="6" t="inlineStr">
        <is>
          <t>INPUT</t>
        </is>
      </c>
    </row>
    <row r="16">
      <c r="A16" s="4" t="inlineStr"/>
      <c r="B16" s="4" t="n"/>
      <c r="C16" s="4" t="n"/>
      <c r="D16" s="4" t="n"/>
    </row>
    <row r="17">
      <c r="A17" s="8" t="inlineStr">
        <is>
          <t>OUTGROWER NETWORK</t>
        </is>
      </c>
      <c r="B17" s="4" t="n"/>
      <c r="C17" s="4" t="n"/>
      <c r="D17" s="4" t="n"/>
    </row>
    <row r="18">
      <c r="A18" s="4" t="inlineStr">
        <is>
          <t>Target farmers - Year 1</t>
        </is>
      </c>
      <c r="B18" s="4" t="n"/>
      <c r="C18" s="5" t="n">
        <v>100</v>
      </c>
      <c r="D18" s="6" t="inlineStr">
        <is>
          <t>INPUT</t>
        </is>
      </c>
    </row>
    <row r="19">
      <c r="A19" s="4" t="inlineStr">
        <is>
          <t>Target farmers - Year 2</t>
        </is>
      </c>
      <c r="B19" s="4" t="n"/>
      <c r="C19" s="5" t="n">
        <v>375</v>
      </c>
      <c r="D19" s="6" t="inlineStr">
        <is>
          <t>INPUT</t>
        </is>
      </c>
    </row>
    <row r="20">
      <c r="A20" s="4" t="inlineStr">
        <is>
          <t>Target farmers - Year 3+</t>
        </is>
      </c>
      <c r="B20" s="4" t="n"/>
      <c r="C20" s="5" t="n">
        <v>800</v>
      </c>
      <c r="D20" s="6" t="inlineStr">
        <is>
          <t>INPUT</t>
        </is>
      </c>
    </row>
    <row r="21">
      <c r="A21" s="4" t="inlineStr">
        <is>
          <t>Hectares per farmer</t>
        </is>
      </c>
      <c r="B21" s="4" t="n"/>
      <c r="C21" s="9" t="n">
        <v>1</v>
      </c>
      <c r="D21" s="6" t="inlineStr">
        <is>
          <t>INPUT</t>
        </is>
      </c>
    </row>
    <row r="22">
      <c r="A22" s="4" t="inlineStr">
        <is>
          <t>Yield with certified seed (tonnes/ha)</t>
        </is>
      </c>
      <c r="B22" s="4" t="n"/>
      <c r="C22" s="7" t="n">
        <v>25</v>
      </c>
      <c r="D22" s="6" t="inlineStr">
        <is>
          <t>INPUT</t>
        </is>
      </c>
    </row>
    <row r="23">
      <c r="A23" s="4" t="inlineStr">
        <is>
          <t>Yield baseline (tonnes/ha)</t>
        </is>
      </c>
      <c r="B23" s="4" t="n"/>
      <c r="C23" s="7" t="n">
        <v>8</v>
      </c>
      <c r="D23" s="6" t="inlineStr">
        <is>
          <t>INPUT</t>
        </is>
      </c>
    </row>
    <row r="24">
      <c r="A24" s="4" t="inlineStr"/>
      <c r="B24" s="4" t="n"/>
      <c r="C24" s="4" t="n"/>
      <c r="D24" s="4" t="n"/>
    </row>
    <row r="25">
      <c r="A25" s="8" t="inlineStr">
        <is>
          <t>PROCESSING CAPACITY</t>
        </is>
      </c>
      <c r="B25" s="4" t="n"/>
      <c r="C25" s="4" t="n"/>
      <c r="D25" s="4" t="n"/>
    </row>
    <row r="26">
      <c r="A26" s="4" t="inlineStr">
        <is>
          <t>French fry line capacity (tonnes/hour)</t>
        </is>
      </c>
      <c r="B26" s="4" t="n"/>
      <c r="C26" s="9" t="n">
        <v>2</v>
      </c>
      <c r="D26" s="6" t="inlineStr">
        <is>
          <t>INPUT</t>
        </is>
      </c>
    </row>
    <row r="27">
      <c r="A27" s="4" t="inlineStr">
        <is>
          <t>Fresh-pack line capacity (tonnes/hour)</t>
        </is>
      </c>
      <c r="B27" s="4" t="n"/>
      <c r="C27" s="9" t="n">
        <v>15</v>
      </c>
      <c r="D27" s="6" t="inlineStr">
        <is>
          <t>INPUT</t>
        </is>
      </c>
    </row>
    <row r="28">
      <c r="A28" s="4" t="inlineStr">
        <is>
          <t>Operating hours per day</t>
        </is>
      </c>
      <c r="B28" s="4" t="n"/>
      <c r="C28" s="7" t="n">
        <v>8</v>
      </c>
      <c r="D28" s="6" t="inlineStr">
        <is>
          <t>INPUT</t>
        </is>
      </c>
    </row>
    <row r="29">
      <c r="A29" s="4" t="inlineStr">
        <is>
          <t>Operating days per year</t>
        </is>
      </c>
      <c r="B29" s="4" t="n"/>
      <c r="C29" s="5" t="n">
        <v>300</v>
      </c>
      <c r="D29" s="6" t="inlineStr">
        <is>
          <t>INPUT</t>
        </is>
      </c>
    </row>
    <row r="30">
      <c r="A30" s="4" t="inlineStr">
        <is>
          <t>Capacity utilization - Year 1 (%)</t>
        </is>
      </c>
      <c r="B30" s="4" t="n"/>
      <c r="C30" s="7" t="n">
        <v>40</v>
      </c>
      <c r="D30" s="6" t="inlineStr">
        <is>
          <t>INPUT</t>
        </is>
      </c>
    </row>
    <row r="31">
      <c r="A31" s="4" t="inlineStr">
        <is>
          <t>Capacity utilization - Year 2 (%)</t>
        </is>
      </c>
      <c r="B31" s="4" t="n"/>
      <c r="C31" s="7" t="n">
        <v>60</v>
      </c>
      <c r="D31" s="6" t="inlineStr">
        <is>
          <t>INPUT</t>
        </is>
      </c>
    </row>
    <row r="32">
      <c r="A32" s="4" t="inlineStr">
        <is>
          <t>Capacity utilization - Year 3+ (%)</t>
        </is>
      </c>
      <c r="B32" s="4" t="n"/>
      <c r="C32" s="7" t="n">
        <v>80</v>
      </c>
      <c r="D32" s="6" t="inlineStr">
        <is>
          <t>INPUT</t>
        </is>
      </c>
    </row>
    <row r="34">
      <c r="A34" s="3" t="inlineStr">
        <is>
          <t>C. PRICING &amp; REVENUE</t>
        </is>
      </c>
    </row>
    <row r="35">
      <c r="A35" s="8" t="inlineStr">
        <is>
          <t>SEED PRICING</t>
        </is>
      </c>
      <c r="B35" s="4" t="n"/>
      <c r="C35" s="4" t="n"/>
      <c r="D35" s="4" t="n"/>
    </row>
    <row r="36">
      <c r="A36" s="4" t="inlineStr">
        <is>
          <t>G1 certified seed price (XAF/kg)</t>
        </is>
      </c>
      <c r="B36" s="4" t="n"/>
      <c r="C36" s="5" t="n">
        <v>800</v>
      </c>
      <c r="D36" s="6" t="inlineStr">
        <is>
          <t>INPUT</t>
        </is>
      </c>
    </row>
    <row r="37">
      <c r="A37" s="4" t="inlineStr">
        <is>
          <t>Seed price escalation (%/year)</t>
        </is>
      </c>
      <c r="B37" s="4" t="n"/>
      <c r="C37" s="7" t="n">
        <v>3</v>
      </c>
      <c r="D37" s="6" t="inlineStr">
        <is>
          <t>INPUT</t>
        </is>
      </c>
    </row>
    <row r="38">
      <c r="A38" s="4" t="inlineStr"/>
      <c r="B38" s="4" t="n"/>
      <c r="C38" s="4" t="n"/>
      <c r="D38" s="4" t="n"/>
    </row>
    <row r="39">
      <c r="A39" s="8" t="inlineStr">
        <is>
          <t>WARE POTATO PRICING</t>
        </is>
      </c>
      <c r="B39" s="4" t="n"/>
      <c r="C39" s="4" t="n"/>
      <c r="D39" s="4" t="n"/>
    </row>
    <row r="40">
      <c r="A40" s="4" t="inlineStr">
        <is>
          <t>Farmgate price - processing grade (XAF/kg)</t>
        </is>
      </c>
      <c r="B40" s="4" t="n"/>
      <c r="C40" s="5" t="n">
        <v>200</v>
      </c>
      <c r="D40" s="6" t="inlineStr">
        <is>
          <t>INPUT</t>
        </is>
      </c>
    </row>
    <row r="41">
      <c r="A41" s="4" t="inlineStr">
        <is>
          <t>Farmgate price - table stock (XAF/kg)</t>
        </is>
      </c>
      <c r="B41" s="4" t="n"/>
      <c r="C41" s="5" t="n">
        <v>250</v>
      </c>
      <c r="D41" s="6" t="inlineStr">
        <is>
          <t>INPUT</t>
        </is>
      </c>
    </row>
    <row r="42">
      <c r="A42" s="4" t="inlineStr">
        <is>
          <t>Fresh-pack retail price (XAF/kg)</t>
        </is>
      </c>
      <c r="B42" s="4" t="n"/>
      <c r="C42" s="5" t="n">
        <v>400</v>
      </c>
      <c r="D42" s="6" t="inlineStr">
        <is>
          <t>INPUT</t>
        </is>
      </c>
    </row>
    <row r="43">
      <c r="A43" s="4" t="inlineStr">
        <is>
          <t>Price escalation (%/year)</t>
        </is>
      </c>
      <c r="B43" s="4" t="n"/>
      <c r="C43" s="7" t="n">
        <v>2</v>
      </c>
      <c r="D43" s="6" t="inlineStr">
        <is>
          <t>INPUT</t>
        </is>
      </c>
    </row>
    <row r="44">
      <c r="A44" s="4" t="inlineStr"/>
      <c r="B44" s="4" t="n"/>
      <c r="C44" s="4" t="n"/>
      <c r="D44" s="4" t="n"/>
    </row>
    <row r="45">
      <c r="A45" s="8" t="inlineStr">
        <is>
          <t>PROCESSED PRODUCTS</t>
        </is>
      </c>
      <c r="B45" s="4" t="n"/>
      <c r="C45" s="4" t="n"/>
      <c r="D45" s="4" t="n"/>
    </row>
    <row r="46">
      <c r="A46" s="4" t="inlineStr">
        <is>
          <t>Frozen french fries price (XAF/kg)</t>
        </is>
      </c>
      <c r="B46" s="4" t="n"/>
      <c r="C46" s="5" t="n">
        <v>1200</v>
      </c>
      <c r="D46" s="6" t="inlineStr">
        <is>
          <t>INPUT</t>
        </is>
      </c>
    </row>
    <row r="47">
      <c r="A47" s="4" t="inlineStr">
        <is>
          <t>Animal feed price (XAF/kg)</t>
        </is>
      </c>
      <c r="B47" s="4" t="n"/>
      <c r="C47" s="5" t="n">
        <v>150</v>
      </c>
      <c r="D47" s="6" t="inlineStr">
        <is>
          <t>INPUT</t>
        </is>
      </c>
    </row>
    <row r="48">
      <c r="A48" s="4" t="inlineStr">
        <is>
          <t>Fry conversion rate (%)</t>
        </is>
      </c>
      <c r="B48" s="4" t="n"/>
      <c r="C48" s="9" t="n">
        <v>62.5</v>
      </c>
      <c r="D48" s="6" t="inlineStr">
        <is>
          <t>INPUT</t>
        </is>
      </c>
    </row>
    <row r="49">
      <c r="A49" s="4" t="inlineStr">
        <is>
          <t>Feed by-product rate (%)</t>
        </is>
      </c>
      <c r="B49" s="4" t="n"/>
      <c r="C49" s="7" t="n">
        <v>80</v>
      </c>
      <c r="D49" s="6" t="inlineStr">
        <is>
          <t>INPUT</t>
        </is>
      </c>
    </row>
    <row r="50">
      <c r="A50" s="4" t="inlineStr">
        <is>
          <t>Product mix - French fries (%)</t>
        </is>
      </c>
      <c r="B50" s="4" t="n"/>
      <c r="C50" s="7" t="n">
        <v>70</v>
      </c>
      <c r="D50" s="6" t="inlineStr">
        <is>
          <t>INPUT</t>
        </is>
      </c>
    </row>
    <row r="51">
      <c r="A51" s="4" t="inlineStr">
        <is>
          <t>Product mix - Fresh pack (%)</t>
        </is>
      </c>
      <c r="B51" s="4" t="n"/>
      <c r="C51" s="7" t="n">
        <v>30</v>
      </c>
      <c r="D51" s="6" t="inlineStr">
        <is>
          <t>INPUT</t>
        </is>
      </c>
    </row>
    <row r="53">
      <c r="A53" s="3" t="inlineStr">
        <is>
          <t>D. OPERATING COSTS</t>
        </is>
      </c>
    </row>
    <row r="54">
      <c r="A54" s="8" t="inlineStr">
        <is>
          <t>SEED PRODUCTION COSTS</t>
        </is>
      </c>
      <c r="B54" s="4" t="n"/>
      <c r="C54" s="4" t="n"/>
      <c r="D54" s="4" t="n"/>
    </row>
    <row r="55">
      <c r="A55" s="4" t="inlineStr">
        <is>
          <t>G0 import cost (XAF/kg)</t>
        </is>
      </c>
      <c r="B55" s="4" t="n"/>
      <c r="C55" s="5" t="n">
        <v>2500</v>
      </c>
      <c r="D55" s="6" t="inlineStr">
        <is>
          <t>INPUT</t>
        </is>
      </c>
    </row>
    <row r="56">
      <c r="A56" s="4" t="inlineStr">
        <is>
          <t>Multiplication cost per kg output (XAF/kg)</t>
        </is>
      </c>
      <c r="B56" s="4" t="n"/>
      <c r="C56" s="5" t="n">
        <v>150</v>
      </c>
      <c r="D56" s="6" t="inlineStr">
        <is>
          <t>INPUT</t>
        </is>
      </c>
    </row>
    <row r="57">
      <c r="A57" s="4" t="inlineStr">
        <is>
          <t>Seed storage cost (XAF/kg/month)</t>
        </is>
      </c>
      <c r="B57" s="4" t="n"/>
      <c r="C57" s="7" t="n">
        <v>10</v>
      </c>
      <c r="D57" s="6" t="inlineStr">
        <is>
          <t>INPUT</t>
        </is>
      </c>
    </row>
    <row r="58">
      <c r="A58" s="4" t="inlineStr"/>
      <c r="B58" s="4" t="n"/>
      <c r="C58" s="4" t="n"/>
      <c r="D58" s="4" t="n"/>
    </row>
    <row r="59">
      <c r="A59" s="8" t="inlineStr">
        <is>
          <t>OUTGROWER SUPPORT</t>
        </is>
      </c>
      <c r="B59" s="4" t="n"/>
      <c r="C59" s="4" t="n"/>
      <c r="D59" s="4" t="n"/>
    </row>
    <row r="60">
      <c r="A60" s="4" t="inlineStr">
        <is>
          <t>Input package cost per farmer (XAF)</t>
        </is>
      </c>
      <c r="B60" s="4" t="n"/>
      <c r="C60" s="5" t="n">
        <v>500000</v>
      </c>
      <c r="D60" s="6" t="inlineStr">
        <is>
          <t>INPUT</t>
        </is>
      </c>
    </row>
    <row r="61">
      <c r="A61" s="4" t="inlineStr">
        <is>
          <t>Extension cost per farmer (XAF)</t>
        </is>
      </c>
      <c r="B61" s="4" t="n"/>
      <c r="C61" s="5" t="n">
        <v>50000</v>
      </c>
      <c r="D61" s="6" t="inlineStr">
        <is>
          <t>INPUT</t>
        </is>
      </c>
    </row>
    <row r="62">
      <c r="A62" s="4" t="inlineStr">
        <is>
          <t>Farmer payment terms (days)</t>
        </is>
      </c>
      <c r="B62" s="4" t="n"/>
      <c r="C62" s="7" t="n">
        <v>0</v>
      </c>
      <c r="D62" s="6" t="inlineStr">
        <is>
          <t>INPUT</t>
        </is>
      </c>
    </row>
    <row r="63">
      <c r="A63" s="4" t="inlineStr"/>
      <c r="B63" s="4" t="n"/>
      <c r="C63" s="4" t="n"/>
      <c r="D63" s="4" t="n"/>
    </row>
    <row r="64">
      <c r="A64" s="8" t="inlineStr">
        <is>
          <t>PROCESSING COSTS (per kg output)</t>
        </is>
      </c>
      <c r="B64" s="4" t="n"/>
      <c r="C64" s="4" t="n"/>
      <c r="D64" s="4" t="n"/>
    </row>
    <row r="65">
      <c r="A65" s="4" t="inlineStr">
        <is>
          <t>Direct labor (XAF/kg)</t>
        </is>
      </c>
      <c r="B65" s="4" t="n"/>
      <c r="C65" s="7" t="n">
        <v>50</v>
      </c>
      <c r="D65" s="6" t="inlineStr">
        <is>
          <t>INPUT</t>
        </is>
      </c>
    </row>
    <row r="66">
      <c r="A66" s="4" t="inlineStr">
        <is>
          <t>Utilities - electricity (XAF/kg)</t>
        </is>
      </c>
      <c r="B66" s="4" t="n"/>
      <c r="C66" s="7" t="n">
        <v>20</v>
      </c>
      <c r="D66" s="6" t="inlineStr">
        <is>
          <t>INPUT</t>
        </is>
      </c>
    </row>
    <row r="67">
      <c r="A67" s="4" t="inlineStr">
        <is>
          <t>Utilities - water (XAF/kg)</t>
        </is>
      </c>
      <c r="B67" s="4" t="n"/>
      <c r="C67" s="7" t="n">
        <v>10</v>
      </c>
      <c r="D67" s="6" t="inlineStr">
        <is>
          <t>INPUT</t>
        </is>
      </c>
    </row>
    <row r="68">
      <c r="A68" s="4" t="inlineStr">
        <is>
          <t>Packaging materials (XAF/kg)</t>
        </is>
      </c>
      <c r="B68" s="4" t="n"/>
      <c r="C68" s="7" t="n">
        <v>80</v>
      </c>
      <c r="D68" s="6" t="inlineStr">
        <is>
          <t>INPUT</t>
        </is>
      </c>
    </row>
    <row r="69">
      <c r="A69" s="4" t="inlineStr">
        <is>
          <t>Quality control &amp; lab (XAF/kg)</t>
        </is>
      </c>
      <c r="B69" s="4" t="n"/>
      <c r="C69" s="7" t="n">
        <v>5</v>
      </c>
      <c r="D69" s="6" t="inlineStr">
        <is>
          <t>INPUT</t>
        </is>
      </c>
    </row>
    <row r="70">
      <c r="A70" s="4" t="inlineStr">
        <is>
          <t>Maintenance (% of processing CAPEX/year)</t>
        </is>
      </c>
      <c r="B70" s="4" t="n"/>
      <c r="C70" s="7" t="n">
        <v>3</v>
      </c>
      <c r="D70" s="6" t="inlineStr">
        <is>
          <t>INPUT</t>
        </is>
      </c>
    </row>
    <row r="71">
      <c r="A71" s="4" t="inlineStr"/>
      <c r="B71" s="4" t="n"/>
      <c r="C71" s="4" t="n"/>
      <c r="D71" s="4" t="n"/>
    </row>
    <row r="72">
      <c r="A72" s="8" t="inlineStr">
        <is>
          <t>OVERHEAD &amp; ADMINISTRATION</t>
        </is>
      </c>
      <c r="B72" s="4" t="n"/>
      <c r="C72" s="4" t="n"/>
      <c r="D72" s="4" t="n"/>
    </row>
    <row r="73">
      <c r="A73" s="4" t="inlineStr">
        <is>
          <t>Management salaries (XAF/month)</t>
        </is>
      </c>
      <c r="B73" s="4" t="n"/>
      <c r="C73" s="5" t="n">
        <v>15000000</v>
      </c>
      <c r="D73" s="6" t="inlineStr">
        <is>
          <t>INPUT</t>
        </is>
      </c>
    </row>
    <row r="74">
      <c r="A74" s="4" t="inlineStr">
        <is>
          <t>Administrative staff (XAF/month)</t>
        </is>
      </c>
      <c r="B74" s="4" t="n"/>
      <c r="C74" s="5" t="n">
        <v>3000000</v>
      </c>
      <c r="D74" s="6" t="inlineStr">
        <is>
          <t>INPUT</t>
        </is>
      </c>
    </row>
    <row r="75">
      <c r="A75" s="4" t="inlineStr">
        <is>
          <t>Office &amp; utilities (XAF/month)</t>
        </is>
      </c>
      <c r="B75" s="4" t="n"/>
      <c r="C75" s="5" t="n">
        <v>1500000</v>
      </c>
      <c r="D75" s="6" t="inlineStr">
        <is>
          <t>INPUT</t>
        </is>
      </c>
    </row>
    <row r="76">
      <c r="A76" s="4" t="inlineStr">
        <is>
          <t>Insurance (% of total assets/year)</t>
        </is>
      </c>
      <c r="B76" s="4" t="n"/>
      <c r="C76" s="9" t="n">
        <v>1.5</v>
      </c>
      <c r="D76" s="6" t="inlineStr">
        <is>
          <t>INPUT</t>
        </is>
      </c>
    </row>
    <row r="77">
      <c r="A77" s="4" t="inlineStr">
        <is>
          <t>Professional services (XAF/year)</t>
        </is>
      </c>
      <c r="B77" s="4" t="n"/>
      <c r="C77" s="5" t="n">
        <v>10000000</v>
      </c>
      <c r="D77" s="6" t="inlineStr">
        <is>
          <t>INPUT</t>
        </is>
      </c>
    </row>
    <row r="78">
      <c r="A78" s="4" t="inlineStr"/>
      <c r="B78" s="4" t="n"/>
      <c r="C78" s="4" t="n"/>
      <c r="D78" s="4" t="n"/>
    </row>
    <row r="79">
      <c r="A79" s="8" t="inlineStr">
        <is>
          <t>LOGISTICS &amp; DISTRIBUTION</t>
        </is>
      </c>
      <c r="B79" s="4" t="n"/>
      <c r="C79" s="4" t="n"/>
      <c r="D79" s="4" t="n"/>
    </row>
    <row r="80">
      <c r="A80" s="4" t="inlineStr">
        <is>
          <t>Transport cost per tonne-km (XAF)</t>
        </is>
      </c>
      <c r="B80" s="4" t="n"/>
      <c r="C80" s="7" t="n">
        <v>50</v>
      </c>
      <c r="D80" s="6" t="inlineStr">
        <is>
          <t>INPUT</t>
        </is>
      </c>
    </row>
    <row r="81">
      <c r="A81" s="4" t="inlineStr">
        <is>
          <t>Average distribution distance (km)</t>
        </is>
      </c>
      <c r="B81" s="4" t="n"/>
      <c r="C81" s="5" t="n">
        <v>300</v>
      </c>
      <c r="D81" s="6" t="inlineStr">
        <is>
          <t>INPUT</t>
        </is>
      </c>
    </row>
    <row r="82">
      <c r="A82" s="4" t="inlineStr">
        <is>
          <t>Cold storage cost (XAF/tonne/month)</t>
        </is>
      </c>
      <c r="B82" s="4" t="n"/>
      <c r="C82" s="5" t="n">
        <v>25000</v>
      </c>
      <c r="D82" s="6" t="inlineStr">
        <is>
          <t>INPUT</t>
        </is>
      </c>
    </row>
    <row r="83">
      <c r="A83" s="4" t="inlineStr"/>
      <c r="B83" s="4" t="n"/>
      <c r="C83" s="4" t="n"/>
      <c r="D83" s="4" t="n"/>
    </row>
    <row r="84">
      <c r="A84" s="8" t="inlineStr">
        <is>
          <t>COST ESCALATION</t>
        </is>
      </c>
      <c r="B84" s="4" t="n"/>
      <c r="C84" s="4" t="n"/>
      <c r="D84" s="4" t="n"/>
    </row>
    <row r="85">
      <c r="A85" s="4" t="inlineStr">
        <is>
          <t>General cost inflation (%/year)</t>
        </is>
      </c>
      <c r="B85" s="4" t="n"/>
      <c r="C85" s="7" t="n">
        <v>3</v>
      </c>
      <c r="D85" s="6" t="inlineStr">
        <is>
          <t>INPUT</t>
        </is>
      </c>
    </row>
    <row r="87">
      <c r="A87" s="3" t="inlineStr">
        <is>
          <t>E. CAPITAL EXPENDITURE (XAF)</t>
        </is>
      </c>
    </row>
    <row r="88">
      <c r="A88" s="8" t="inlineStr">
        <is>
          <t>PHASE 1: SEED MULTIPLICATION</t>
        </is>
      </c>
      <c r="B88" s="4" t="n"/>
      <c r="C88" s="4" t="n"/>
      <c r="D88" s="4" t="n"/>
    </row>
    <row r="89">
      <c r="A89" s="4" t="inlineStr">
        <is>
          <t>Aeroponic EGS facility</t>
        </is>
      </c>
      <c r="B89" s="4" t="n"/>
      <c r="C89" s="5" t="n">
        <v>600000000</v>
      </c>
      <c r="D89" s="6" t="inlineStr">
        <is>
          <t>INPUT</t>
        </is>
      </c>
    </row>
    <row r="90">
      <c r="A90" s="4" t="inlineStr">
        <is>
          <t>Seed cold storage (500T)</t>
        </is>
      </c>
      <c r="B90" s="4" t="n"/>
      <c r="C90" s="5" t="n">
        <v>300000000</v>
      </c>
      <c r="D90" s="6" t="inlineStr">
        <is>
          <t>INPUT</t>
        </is>
      </c>
    </row>
    <row r="91">
      <c r="A91" s="4" t="inlineStr">
        <is>
          <t>Nucleus farm equipment</t>
        </is>
      </c>
      <c r="B91" s="4" t="n"/>
      <c r="C91" s="5" t="n">
        <v>200000000</v>
      </c>
      <c r="D91" s="6" t="inlineStr">
        <is>
          <t>INPUT</t>
        </is>
      </c>
    </row>
    <row r="92">
      <c r="A92" s="4" t="inlineStr">
        <is>
          <t>Greenhouse structures</t>
        </is>
      </c>
      <c r="B92" s="4" t="n"/>
      <c r="C92" s="5" t="n">
        <v>150000000</v>
      </c>
      <c r="D92" s="6" t="inlineStr">
        <is>
          <t>INPUT</t>
        </is>
      </c>
    </row>
    <row r="93">
      <c r="A93" s="4" t="inlineStr">
        <is>
          <t>Phase 1 contingency (%)</t>
        </is>
      </c>
      <c r="B93" s="4" t="n"/>
      <c r="C93" s="7" t="n">
        <v>10</v>
      </c>
      <c r="D93" s="6" t="inlineStr">
        <is>
          <t>INPUT</t>
        </is>
      </c>
    </row>
    <row r="94">
      <c r="A94" s="4" t="inlineStr"/>
      <c r="B94" s="4" t="n"/>
      <c r="C94" s="4" t="n"/>
      <c r="D94" s="4" t="n"/>
    </row>
    <row r="95">
      <c r="A95" s="8" t="inlineStr">
        <is>
          <t>PHASE 2: OUTGROWER NETWORK</t>
        </is>
      </c>
      <c r="B95" s="4" t="n"/>
      <c r="C95" s="4" t="n"/>
      <c r="D95" s="4" t="n"/>
    </row>
    <row r="96">
      <c r="A96" s="4" t="inlineStr">
        <is>
          <t>Training center &amp; demo farm</t>
        </is>
      </c>
      <c r="B96" s="4" t="n"/>
      <c r="C96" s="5" t="n">
        <v>150000000</v>
      </c>
      <c r="D96" s="6" t="inlineStr">
        <is>
          <t>INPUT</t>
        </is>
      </c>
    </row>
    <row r="97">
      <c r="A97" s="4" t="inlineStr">
        <is>
          <t>Field equipment &amp; tools</t>
        </is>
      </c>
      <c r="B97" s="4" t="n"/>
      <c r="C97" s="5" t="n">
        <v>250000000</v>
      </c>
      <c r="D97" s="6" t="inlineStr">
        <is>
          <t>INPUT</t>
        </is>
      </c>
    </row>
    <row r="98">
      <c r="A98" s="4" t="inlineStr">
        <is>
          <t>Input supply warehouse</t>
        </is>
      </c>
      <c r="B98" s="4" t="n"/>
      <c r="C98" s="5" t="n">
        <v>100000000</v>
      </c>
      <c r="D98" s="6" t="inlineStr">
        <is>
          <t>INPUT</t>
        </is>
      </c>
    </row>
    <row r="99">
      <c r="A99" s="4" t="inlineStr">
        <is>
          <t>Working capital facility</t>
        </is>
      </c>
      <c r="B99" s="4" t="n"/>
      <c r="C99" s="5" t="n">
        <v>500000000</v>
      </c>
      <c r="D99" s="6" t="inlineStr">
        <is>
          <t>INPUT</t>
        </is>
      </c>
    </row>
    <row r="100">
      <c r="A100" s="4" t="inlineStr">
        <is>
          <t>Phase 2 contingency (%)</t>
        </is>
      </c>
      <c r="B100" s="4" t="n"/>
      <c r="C100" s="7" t="n">
        <v>10</v>
      </c>
      <c r="D100" s="6" t="inlineStr">
        <is>
          <t>INPUT</t>
        </is>
      </c>
    </row>
    <row r="101">
      <c r="A101" s="4" t="inlineStr"/>
      <c r="B101" s="4" t="n"/>
      <c r="C101" s="4" t="n"/>
      <c r="D101" s="4" t="n"/>
    </row>
    <row r="102">
      <c r="A102" s="8" t="inlineStr">
        <is>
          <t>PHASE 3: PROCESSING FACILITY</t>
        </is>
      </c>
      <c r="B102" s="4" t="n"/>
      <c r="C102" s="4" t="n"/>
      <c r="D102" s="4" t="n"/>
    </row>
    <row r="103">
      <c r="A103" s="4" t="inlineStr">
        <is>
          <t>French fry line (Baixin)</t>
        </is>
      </c>
      <c r="B103" s="4" t="n"/>
      <c r="C103" s="5" t="n">
        <v>5000000000</v>
      </c>
      <c r="D103" s="6" t="inlineStr">
        <is>
          <t>INPUT</t>
        </is>
      </c>
    </row>
    <row r="104">
      <c r="A104" s="4" t="inlineStr">
        <is>
          <t>Fresh-pack line (Manter)</t>
        </is>
      </c>
      <c r="B104" s="4" t="n"/>
      <c r="C104" s="5" t="n">
        <v>2000000000</v>
      </c>
      <c r="D104" s="6" t="inlineStr">
        <is>
          <t>INPUT</t>
        </is>
      </c>
    </row>
    <row r="105">
      <c r="A105" s="4" t="inlineStr">
        <is>
          <t>CA storage facility (10,000T)</t>
        </is>
      </c>
      <c r="B105" s="4" t="n"/>
      <c r="C105" s="5" t="n">
        <v>3000000000</v>
      </c>
      <c r="D105" s="6" t="inlineStr">
        <is>
          <t>INPUT</t>
        </is>
      </c>
    </row>
    <row r="106">
      <c r="A106" s="4" t="inlineStr">
        <is>
          <t>Factory building &amp; civil works</t>
        </is>
      </c>
      <c r="B106" s="4" t="n"/>
      <c r="C106" s="5" t="n">
        <v>2000000000</v>
      </c>
      <c r="D106" s="6" t="inlineStr">
        <is>
          <t>INPUT</t>
        </is>
      </c>
    </row>
    <row r="107">
      <c r="A107" s="4" t="inlineStr">
        <is>
          <t>Utilities infrastructure</t>
        </is>
      </c>
      <c r="B107" s="4" t="n"/>
      <c r="C107" s="5" t="n">
        <v>500000000</v>
      </c>
      <c r="D107" s="6" t="inlineStr">
        <is>
          <t>INPUT</t>
        </is>
      </c>
    </row>
    <row r="108">
      <c r="A108" s="4" t="inlineStr">
        <is>
          <t>Effluent treatment plant</t>
        </is>
      </c>
      <c r="B108" s="4" t="n"/>
      <c r="C108" s="5" t="n">
        <v>300000000</v>
      </c>
      <c r="D108" s="6" t="inlineStr">
        <is>
          <t>INPUT</t>
        </is>
      </c>
    </row>
    <row r="109">
      <c r="A109" s="4" t="inlineStr">
        <is>
          <t>Phase 3 contingency (%)</t>
        </is>
      </c>
      <c r="B109" s="4" t="n"/>
      <c r="C109" s="7" t="n">
        <v>15</v>
      </c>
      <c r="D109" s="6" t="inlineStr">
        <is>
          <t>INPUT</t>
        </is>
      </c>
    </row>
    <row r="110">
      <c r="A110" s="4" t="inlineStr"/>
      <c r="B110" s="4" t="n"/>
      <c r="C110" s="4" t="n"/>
      <c r="D110" s="4" t="n"/>
    </row>
    <row r="111">
      <c r="A111" s="8" t="inlineStr">
        <is>
          <t>PHASE 4: LOGISTICS &amp; DISTRIBUTION</t>
        </is>
      </c>
      <c r="B111" s="4" t="n"/>
      <c r="C111" s="4" t="n"/>
      <c r="D111" s="4" t="n"/>
    </row>
    <row r="112">
      <c r="A112" s="4" t="inlineStr">
        <is>
          <t>Reefer trucks (number)</t>
        </is>
      </c>
      <c r="B112" s="4" t="n"/>
      <c r="C112" s="7" t="n">
        <v>5</v>
      </c>
      <c r="D112" s="6" t="inlineStr">
        <is>
          <t>INPUT</t>
        </is>
      </c>
    </row>
    <row r="113">
      <c r="A113" s="4" t="inlineStr">
        <is>
          <t>Cost per reefer truck (XAF)</t>
        </is>
      </c>
      <c r="B113" s="4" t="n"/>
      <c r="C113" s="5" t="n">
        <v>150000000</v>
      </c>
      <c r="D113" s="6" t="inlineStr">
        <is>
          <t>INPUT</t>
        </is>
      </c>
    </row>
    <row r="114">
      <c r="A114" s="4" t="inlineStr">
        <is>
          <t>Delivery vans (number)</t>
        </is>
      </c>
      <c r="B114" s="4" t="n"/>
      <c r="C114" s="7" t="n">
        <v>10</v>
      </c>
      <c r="D114" s="6" t="inlineStr">
        <is>
          <t>INPUT</t>
        </is>
      </c>
    </row>
    <row r="115">
      <c r="A115" s="4" t="inlineStr">
        <is>
          <t>Cost per van (XAF)</t>
        </is>
      </c>
      <c r="B115" s="4" t="n"/>
      <c r="C115" s="5" t="n">
        <v>25000000</v>
      </c>
      <c r="D115" s="6" t="inlineStr">
        <is>
          <t>INPUT</t>
        </is>
      </c>
    </row>
    <row r="116">
      <c r="A116" s="4" t="inlineStr">
        <is>
          <t>Regional cold storage depots</t>
        </is>
      </c>
      <c r="B116" s="4" t="n"/>
      <c r="C116" s="5" t="n">
        <v>400000000</v>
      </c>
      <c r="D116" s="6" t="inlineStr">
        <is>
          <t>INPUT</t>
        </is>
      </c>
    </row>
    <row r="117">
      <c r="A117" s="4" t="inlineStr">
        <is>
          <t>Phase 4 contingency (%)</t>
        </is>
      </c>
      <c r="B117" s="4" t="n"/>
      <c r="C117" s="7" t="n">
        <v>10</v>
      </c>
      <c r="D117" s="6" t="inlineStr">
        <is>
          <t>INPUT</t>
        </is>
      </c>
    </row>
    <row r="118">
      <c r="A118" s="4" t="inlineStr"/>
      <c r="B118" s="4" t="n"/>
      <c r="C118" s="4" t="n"/>
      <c r="D118" s="4" t="n"/>
    </row>
    <row r="119">
      <c r="A119" s="8" t="inlineStr">
        <is>
          <t>PHASE 5: CIRCULAR ECONOMY</t>
        </is>
      </c>
      <c r="B119" s="4" t="n"/>
      <c r="C119" s="4" t="n"/>
      <c r="D119" s="4" t="n"/>
    </row>
    <row r="120">
      <c r="A120" s="4" t="inlineStr">
        <is>
          <t>Feed pelletizer line</t>
        </is>
      </c>
      <c r="B120" s="4" t="n"/>
      <c r="C120" s="5" t="n">
        <v>200000000</v>
      </c>
      <c r="D120" s="6" t="inlineStr">
        <is>
          <t>INPUT</t>
        </is>
      </c>
    </row>
    <row r="121">
      <c r="A121" s="4" t="inlineStr">
        <is>
          <t>Water recycling system</t>
        </is>
      </c>
      <c r="B121" s="4" t="n"/>
      <c r="C121" s="5" t="n">
        <v>150000000</v>
      </c>
      <c r="D121" s="6" t="inlineStr">
        <is>
          <t>INPUT</t>
        </is>
      </c>
    </row>
    <row r="122">
      <c r="A122" s="4" t="inlineStr">
        <is>
          <t>Biogas digester</t>
        </is>
      </c>
      <c r="B122" s="4" t="n"/>
      <c r="C122" s="5" t="n">
        <v>100000000</v>
      </c>
      <c r="D122" s="6" t="inlineStr">
        <is>
          <t>INPUT</t>
        </is>
      </c>
    </row>
    <row r="123">
      <c r="A123" s="4" t="inlineStr">
        <is>
          <t>Phase 5 contingency (%)</t>
        </is>
      </c>
      <c r="B123" s="4" t="n"/>
      <c r="C123" s="7" t="n">
        <v>10</v>
      </c>
      <c r="D123" s="6" t="inlineStr">
        <is>
          <t>INPUT</t>
        </is>
      </c>
    </row>
    <row r="125">
      <c r="A125" s="3" t="inlineStr">
        <is>
          <t>F. DEPRECIATION</t>
        </is>
      </c>
    </row>
    <row r="126">
      <c r="A126" s="4" t="inlineStr">
        <is>
          <t>Buildings useful life (years)</t>
        </is>
      </c>
      <c r="B126" s="4" t="n"/>
      <c r="C126" s="7" t="n">
        <v>30</v>
      </c>
      <c r="D126" s="6" t="inlineStr">
        <is>
          <t>INPUT</t>
        </is>
      </c>
    </row>
    <row r="127">
      <c r="A127" s="4" t="inlineStr">
        <is>
          <t>Heavy machinery useful life (years)</t>
        </is>
      </c>
      <c r="B127" s="4" t="n"/>
      <c r="C127" s="7" t="n">
        <v>10</v>
      </c>
      <c r="D127" s="6" t="inlineStr">
        <is>
          <t>INPUT</t>
        </is>
      </c>
    </row>
    <row r="128">
      <c r="A128" s="4" t="inlineStr">
        <is>
          <t>Light equipment useful life (years)</t>
        </is>
      </c>
      <c r="B128" s="4" t="n"/>
      <c r="C128" s="7" t="n">
        <v>7</v>
      </c>
      <c r="D128" s="6" t="inlineStr">
        <is>
          <t>INPUT</t>
        </is>
      </c>
    </row>
    <row r="129">
      <c r="A129" s="4" t="inlineStr">
        <is>
          <t>Vehicles useful life (years)</t>
        </is>
      </c>
      <c r="B129" s="4" t="n"/>
      <c r="C129" s="7" t="n">
        <v>5</v>
      </c>
      <c r="D129" s="6" t="inlineStr">
        <is>
          <t>INPUT</t>
        </is>
      </c>
    </row>
    <row r="130">
      <c r="A130" s="4" t="inlineStr">
        <is>
          <t>Residual value (% of cost)</t>
        </is>
      </c>
      <c r="B130" s="4" t="n"/>
      <c r="C130" s="7" t="n">
        <v>5</v>
      </c>
      <c r="D130" s="6" t="inlineStr">
        <is>
          <t>INPUT</t>
        </is>
      </c>
    </row>
    <row r="131">
      <c r="A131" s="4" t="inlineStr"/>
      <c r="B131" s="4" t="n"/>
      <c r="C131" s="4" t="n"/>
      <c r="D131" s="4" t="n"/>
    </row>
    <row r="132">
      <c r="A132" s="8" t="inlineStr">
        <is>
          <t>ASSET CLASSIFICATION (%)</t>
        </is>
      </c>
      <c r="B132" s="4" t="n"/>
      <c r="C132" s="4" t="n"/>
      <c r="D132" s="4" t="n"/>
    </row>
    <row r="133">
      <c r="A133" s="4" t="inlineStr">
        <is>
          <t>Buildings proportion</t>
        </is>
      </c>
      <c r="B133" s="4" t="n"/>
      <c r="C133" s="7" t="n">
        <v>25</v>
      </c>
      <c r="D133" s="6" t="inlineStr">
        <is>
          <t>INPUT</t>
        </is>
      </c>
    </row>
    <row r="134">
      <c r="A134" s="4" t="inlineStr">
        <is>
          <t>Heavy machinery proportion</t>
        </is>
      </c>
      <c r="B134" s="4" t="n"/>
      <c r="C134" s="7" t="n">
        <v>50</v>
      </c>
      <c r="D134" s="6" t="inlineStr">
        <is>
          <t>INPUT</t>
        </is>
      </c>
    </row>
    <row r="135">
      <c r="A135" s="4" t="inlineStr">
        <is>
          <t>Light equipment proportion</t>
        </is>
      </c>
      <c r="B135" s="4" t="n"/>
      <c r="C135" s="7" t="n">
        <v>15</v>
      </c>
      <c r="D135" s="6" t="inlineStr">
        <is>
          <t>INPUT</t>
        </is>
      </c>
    </row>
    <row r="136">
      <c r="A136" s="4" t="inlineStr">
        <is>
          <t>Vehicles proportion</t>
        </is>
      </c>
      <c r="B136" s="4" t="n"/>
      <c r="C136" s="7" t="n">
        <v>10</v>
      </c>
      <c r="D136" s="6" t="inlineStr">
        <is>
          <t>INPUT</t>
        </is>
      </c>
    </row>
    <row r="138">
      <c r="A138" s="3" t="inlineStr">
        <is>
          <t>G. FINANCING STRUCTURE</t>
        </is>
      </c>
    </row>
    <row r="139">
      <c r="A139" s="8" t="inlineStr">
        <is>
          <t>EQUITY</t>
        </is>
      </c>
      <c r="B139" s="4" t="n"/>
      <c r="C139" s="4" t="n"/>
      <c r="D139" s="4" t="n"/>
    </row>
    <row r="140">
      <c r="A140" s="4" t="inlineStr">
        <is>
          <t>Sponsor equity (% of total CAPEX)</t>
        </is>
      </c>
      <c r="B140" s="4" t="n"/>
      <c r="C140" s="7" t="n">
        <v>25</v>
      </c>
      <c r="D140" s="6" t="inlineStr">
        <is>
          <t>INPUT</t>
        </is>
      </c>
    </row>
    <row r="141">
      <c r="A141" s="4" t="inlineStr">
        <is>
          <t>Equity IRR hurdle rate (%)</t>
        </is>
      </c>
      <c r="B141" s="4" t="n"/>
      <c r="C141" s="7" t="n">
        <v>20</v>
      </c>
      <c r="D141" s="6" t="inlineStr">
        <is>
          <t>INPUT</t>
        </is>
      </c>
    </row>
    <row r="142">
      <c r="A142" s="4" t="inlineStr"/>
      <c r="B142" s="4" t="n"/>
      <c r="C142" s="4" t="n"/>
      <c r="D142" s="4" t="n"/>
    </row>
    <row r="143">
      <c r="A143" s="8" t="inlineStr">
        <is>
          <t>SENIOR DEBT (DFI)</t>
        </is>
      </c>
      <c r="B143" s="4" t="n"/>
      <c r="C143" s="4" t="n"/>
      <c r="D143" s="4" t="n"/>
    </row>
    <row r="144">
      <c r="A144" s="4" t="inlineStr">
        <is>
          <t>Senior debt (% of total CAPEX)</t>
        </is>
      </c>
      <c r="B144" s="4" t="n"/>
      <c r="C144" s="7" t="n">
        <v>55</v>
      </c>
      <c r="D144" s="6" t="inlineStr">
        <is>
          <t>INPUT</t>
        </is>
      </c>
    </row>
    <row r="145">
      <c r="A145" s="4" t="inlineStr">
        <is>
          <t>Interest rate - fixed (%)</t>
        </is>
      </c>
      <c r="B145" s="4" t="n"/>
      <c r="C145" s="9" t="n">
        <v>8</v>
      </c>
      <c r="D145" s="6" t="inlineStr">
        <is>
          <t>INPUT</t>
        </is>
      </c>
    </row>
    <row r="146">
      <c r="A146" s="4" t="inlineStr">
        <is>
          <t>Tenor (years)</t>
        </is>
      </c>
      <c r="B146" s="4" t="n"/>
      <c r="C146" s="7" t="n">
        <v>10</v>
      </c>
      <c r="D146" s="6" t="inlineStr">
        <is>
          <t>INPUT</t>
        </is>
      </c>
    </row>
    <row r="147">
      <c r="A147" s="4" t="inlineStr">
        <is>
          <t>Grace period (years)</t>
        </is>
      </c>
      <c r="B147" s="4" t="n"/>
      <c r="C147" s="7" t="n">
        <v>3</v>
      </c>
      <c r="D147" s="6" t="inlineStr">
        <is>
          <t>INPUT</t>
        </is>
      </c>
    </row>
    <row r="148">
      <c r="A148" s="4" t="inlineStr">
        <is>
          <t>Arrangement fee (%)</t>
        </is>
      </c>
      <c r="B148" s="4" t="n"/>
      <c r="C148" s="9" t="n">
        <v>1.5</v>
      </c>
      <c r="D148" s="6" t="inlineStr">
        <is>
          <t>INPUT</t>
        </is>
      </c>
    </row>
    <row r="149">
      <c r="A149" s="4" t="inlineStr">
        <is>
          <t>Commitment fee (% on undrawn)</t>
        </is>
      </c>
      <c r="B149" s="4" t="n"/>
      <c r="C149" s="9" t="n">
        <v>0.5</v>
      </c>
      <c r="D149" s="6" t="inlineStr">
        <is>
          <t>INPUT</t>
        </is>
      </c>
    </row>
    <row r="150">
      <c r="A150" s="4" t="inlineStr"/>
      <c r="B150" s="4" t="n"/>
      <c r="C150" s="4" t="n"/>
      <c r="D150" s="4" t="n"/>
    </row>
    <row r="151">
      <c r="A151" s="8" t="inlineStr">
        <is>
          <t>SUBORDINATED DEBT / MEZZANINE</t>
        </is>
      </c>
      <c r="B151" s="4" t="n"/>
      <c r="C151" s="4" t="n"/>
      <c r="D151" s="4" t="n"/>
    </row>
    <row r="152">
      <c r="A152" s="4" t="inlineStr">
        <is>
          <t>Mezzanine (% of total CAPEX)</t>
        </is>
      </c>
      <c r="B152" s="4" t="n"/>
      <c r="C152" s="7" t="n">
        <v>10</v>
      </c>
      <c r="D152" s="6" t="inlineStr">
        <is>
          <t>INPUT</t>
        </is>
      </c>
    </row>
    <row r="153">
      <c r="A153" s="4" t="inlineStr">
        <is>
          <t>Interest rate (%)</t>
        </is>
      </c>
      <c r="B153" s="4" t="n"/>
      <c r="C153" s="9" t="n">
        <v>12</v>
      </c>
      <c r="D153" s="6" t="inlineStr">
        <is>
          <t>INPUT</t>
        </is>
      </c>
    </row>
    <row r="154">
      <c r="A154" s="4" t="inlineStr">
        <is>
          <t>Tenor (years)</t>
        </is>
      </c>
      <c r="B154" s="4" t="n"/>
      <c r="C154" s="7" t="n">
        <v>8</v>
      </c>
      <c r="D154" s="6" t="inlineStr">
        <is>
          <t>INPUT</t>
        </is>
      </c>
    </row>
    <row r="155">
      <c r="A155" s="4" t="inlineStr">
        <is>
          <t>Grace period (years)</t>
        </is>
      </c>
      <c r="B155" s="4" t="n"/>
      <c r="C155" s="7" t="n">
        <v>5</v>
      </c>
      <c r="D155" s="6" t="inlineStr">
        <is>
          <t>INPUT</t>
        </is>
      </c>
    </row>
    <row r="156">
      <c r="A156" s="4" t="inlineStr"/>
      <c r="B156" s="4" t="n"/>
      <c r="C156" s="4" t="n"/>
      <c r="D156" s="4" t="n"/>
    </row>
    <row r="157">
      <c r="A157" s="8" t="inlineStr">
        <is>
          <t>GRANT / TECHNICAL ASSISTANCE</t>
        </is>
      </c>
      <c r="B157" s="4" t="n"/>
      <c r="C157" s="4" t="n"/>
      <c r="D157" s="4" t="n"/>
    </row>
    <row r="158">
      <c r="A158" s="4" t="inlineStr">
        <is>
          <t>Grant amount (XAF)</t>
        </is>
      </c>
      <c r="B158" s="4" t="n"/>
      <c r="C158" s="5" t="n">
        <v>500000000</v>
      </c>
      <c r="D158" s="6" t="inlineStr">
        <is>
          <t>INPUT</t>
        </is>
      </c>
    </row>
    <row r="160">
      <c r="A160" s="3" t="inlineStr">
        <is>
          <t>H. TAX &amp; INCENTIVES (Cameroon)</t>
        </is>
      </c>
    </row>
    <row r="161">
      <c r="A161" s="4" t="inlineStr">
        <is>
          <t>Standard corporate income tax rate (%)</t>
        </is>
      </c>
      <c r="B161" s="4" t="n"/>
      <c r="C161" s="7" t="n">
        <v>33</v>
      </c>
      <c r="D161" s="6" t="inlineStr">
        <is>
          <t>INPUT</t>
        </is>
      </c>
    </row>
    <row r="162">
      <c r="A162" s="4" t="inlineStr">
        <is>
          <t>Installation phase duration (years)</t>
        </is>
      </c>
      <c r="B162" s="4" t="n"/>
      <c r="C162" s="7" t="n">
        <v>5</v>
      </c>
      <c r="D162" s="6" t="inlineStr">
        <is>
          <t>INPUT</t>
        </is>
      </c>
    </row>
    <row r="163">
      <c r="A163" s="4" t="inlineStr">
        <is>
          <t>CIT holiday period (years)</t>
        </is>
      </c>
      <c r="B163" s="4" t="n"/>
      <c r="C163" s="7" t="n">
        <v>5</v>
      </c>
      <c r="D163" s="6" t="inlineStr">
        <is>
          <t>INPUT</t>
        </is>
      </c>
    </row>
    <row r="164">
      <c r="A164" s="4" t="inlineStr">
        <is>
          <t>Reduced CIT rate after holiday (%)</t>
        </is>
      </c>
      <c r="B164" s="4" t="n"/>
      <c r="C164" s="9" t="n">
        <v>16.5</v>
      </c>
      <c r="D164" s="6" t="inlineStr">
        <is>
          <t>INPUT</t>
        </is>
      </c>
    </row>
    <row r="165">
      <c r="A165" s="4" t="inlineStr">
        <is>
          <t>Tax credit (% - Category C project)</t>
        </is>
      </c>
      <c r="B165" s="4" t="n"/>
      <c r="C165" s="7" t="n">
        <v>75</v>
      </c>
      <c r="D165" s="6" t="inlineStr">
        <is>
          <t>INPUT</t>
        </is>
      </c>
    </row>
    <row r="166">
      <c r="A166" s="4" t="inlineStr">
        <is>
          <t>Loss carry-forward period (years)</t>
        </is>
      </c>
      <c r="B166" s="4" t="n"/>
      <c r="C166" s="7" t="n">
        <v>5</v>
      </c>
      <c r="D166" s="6" t="inlineStr">
        <is>
          <t>INPUT</t>
        </is>
      </c>
    </row>
    <row r="167">
      <c r="A167" s="4" t="inlineStr">
        <is>
          <t>Minimum corporate tax (% revenue)</t>
        </is>
      </c>
      <c r="B167" s="4" t="n"/>
      <c r="C167" s="7" t="n">
        <v>1</v>
      </c>
      <c r="D167" s="6" t="inlineStr">
        <is>
          <t>INPUT</t>
        </is>
      </c>
    </row>
    <row r="168">
      <c r="A168" s="4" t="inlineStr">
        <is>
          <t>Withholding tax on dividends (%)</t>
        </is>
      </c>
      <c r="B168" s="4" t="n"/>
      <c r="C168" s="9" t="n">
        <v>16.5</v>
      </c>
      <c r="D168" s="6" t="inlineStr">
        <is>
          <t>INPUT</t>
        </is>
      </c>
    </row>
    <row r="170">
      <c r="A170" s="3" t="inlineStr">
        <is>
          <t>I. WORKING CAPITAL ASSUMPTIONS</t>
        </is>
      </c>
    </row>
    <row r="171">
      <c r="A171" s="4" t="inlineStr">
        <is>
          <t>Raw materials inventory (days)</t>
        </is>
      </c>
      <c r="B171" s="4" t="n"/>
      <c r="C171" s="7" t="n">
        <v>30</v>
      </c>
      <c r="D171" s="6" t="inlineStr">
        <is>
          <t>INPUT</t>
        </is>
      </c>
    </row>
    <row r="172">
      <c r="A172" s="4" t="inlineStr">
        <is>
          <t>Finished goods inventory (days)</t>
        </is>
      </c>
      <c r="B172" s="4" t="n"/>
      <c r="C172" s="7" t="n">
        <v>45</v>
      </c>
      <c r="D172" s="6" t="inlineStr">
        <is>
          <t>INPUT</t>
        </is>
      </c>
    </row>
    <row r="173">
      <c r="A173" s="4" t="inlineStr">
        <is>
          <t>Accounts receivable (days)</t>
        </is>
      </c>
      <c r="B173" s="4" t="n"/>
      <c r="C173" s="7" t="n">
        <v>30</v>
      </c>
      <c r="D173" s="6" t="inlineStr">
        <is>
          <t>INPUT</t>
        </is>
      </c>
    </row>
    <row r="174">
      <c r="A174" s="4" t="inlineStr">
        <is>
          <t>Accounts payable (days)</t>
        </is>
      </c>
      <c r="B174" s="4" t="n"/>
      <c r="C174" s="7" t="n">
        <v>30</v>
      </c>
      <c r="D174" s="6" t="inlineStr">
        <is>
          <t>INPUT</t>
        </is>
      </c>
    </row>
    <row r="175">
      <c r="A175" s="4" t="inlineStr">
        <is>
          <t>Seasonal working capital peak multiplier</t>
        </is>
      </c>
      <c r="B175" s="4" t="n"/>
      <c r="C175" s="9" t="n">
        <v>1.5</v>
      </c>
      <c r="D175" s="6" t="inlineStr">
        <is>
          <t>INPUT</t>
        </is>
      </c>
    </row>
    <row r="176">
      <c r="A176" s="4" t="inlineStr">
        <is>
          <t>Cash buffer (days of operating costs)</t>
        </is>
      </c>
      <c r="B176" s="4" t="n"/>
      <c r="C176" s="7" t="n">
        <v>15</v>
      </c>
      <c r="D176" s="6" t="inlineStr">
        <is>
          <t>INPUT</t>
        </is>
      </c>
    </row>
    <row r="178">
      <c r="A178" s="3" t="inlineStr">
        <is>
          <t>J. MACROECONOMIC ASSUMPTIONS</t>
        </is>
      </c>
    </row>
    <row r="179">
      <c r="A179" s="4" t="inlineStr">
        <is>
          <t>XAF/USD exchange rate</t>
        </is>
      </c>
      <c r="B179" s="4" t="n"/>
      <c r="C179" s="5" t="n">
        <v>600</v>
      </c>
      <c r="D179" s="6" t="inlineStr">
        <is>
          <t>INPUT</t>
        </is>
      </c>
    </row>
    <row r="180">
      <c r="A180" s="4" t="inlineStr">
        <is>
          <t>General inflation rate (%/year)</t>
        </is>
      </c>
      <c r="B180" s="4" t="n"/>
      <c r="C180" s="7" t="n">
        <v>3</v>
      </c>
      <c r="D180" s="6" t="inlineStr">
        <is>
          <t>INPUT</t>
        </is>
      </c>
    </row>
    <row r="181">
      <c r="A181" s="4" t="inlineStr">
        <is>
          <t>Discount rate for NPV (%)</t>
        </is>
      </c>
      <c r="B181" s="4" t="n"/>
      <c r="C181" s="7" t="n">
        <v>12</v>
      </c>
      <c r="D181" s="6" t="inlineStr">
        <is>
          <t>INPUT</t>
        </is>
      </c>
    </row>
    <row r="182">
      <c r="A182" s="4" t="inlineStr">
        <is>
          <t>Terminal growth rate (%)</t>
        </is>
      </c>
      <c r="B182" s="4" t="n"/>
      <c r="C182" s="7" t="n">
        <v>2</v>
      </c>
      <c r="D182" s="6" t="inlineStr">
        <is>
          <t>INPUT</t>
        </is>
      </c>
    </row>
    <row r="184">
      <c r="A184" s="3" t="inlineStr">
        <is>
          <t>K. SCENARIO ADJUSTMENTS</t>
        </is>
      </c>
    </row>
    <row r="185">
      <c r="A185" s="8" t="inlineStr">
        <is>
          <t>DOWNSIDE SCENARIO</t>
        </is>
      </c>
      <c r="B185" s="4" t="n"/>
      <c r="C185" s="4" t="n"/>
      <c r="D185" s="4" t="n"/>
    </row>
    <row r="186">
      <c r="A186" s="4" t="inlineStr">
        <is>
          <t>Yield adjustment (%)</t>
        </is>
      </c>
      <c r="B186" s="4" t="n"/>
      <c r="C186" s="7" t="n">
        <v>-20</v>
      </c>
      <c r="D186" s="6" t="inlineStr">
        <is>
          <t>INPUT</t>
        </is>
      </c>
    </row>
    <row r="187">
      <c r="A187" s="4" t="inlineStr">
        <is>
          <t>Price adjustment (%)</t>
        </is>
      </c>
      <c r="B187" s="4" t="n"/>
      <c r="C187" s="7" t="n">
        <v>-15</v>
      </c>
      <c r="D187" s="6" t="inlineStr">
        <is>
          <t>INPUT</t>
        </is>
      </c>
    </row>
    <row r="188">
      <c r="A188" s="4" t="inlineStr">
        <is>
          <t>CAPEX overrun (%)</t>
        </is>
      </c>
      <c r="B188" s="4" t="n"/>
      <c r="C188" s="7" t="n">
        <v>15</v>
      </c>
      <c r="D188" s="6" t="inlineStr">
        <is>
          <t>INPUT</t>
        </is>
      </c>
    </row>
    <row r="189">
      <c r="A189" s="4" t="inlineStr">
        <is>
          <t>Operating cost increase (%)</t>
        </is>
      </c>
      <c r="B189" s="4" t="n"/>
      <c r="C189" s="7" t="n">
        <v>10</v>
      </c>
      <c r="D189" s="6" t="inlineStr">
        <is>
          <t>INPUT</t>
        </is>
      </c>
    </row>
    <row r="190">
      <c r="A190" s="4" t="inlineStr">
        <is>
          <t>Ramp-up delay (months)</t>
        </is>
      </c>
      <c r="B190" s="4" t="n"/>
      <c r="C190" s="7" t="n">
        <v>6</v>
      </c>
      <c r="D190" s="6" t="inlineStr">
        <is>
          <t>INPUT</t>
        </is>
      </c>
    </row>
    <row r="191">
      <c r="A191" s="4" t="inlineStr"/>
      <c r="B191" s="4" t="n"/>
      <c r="C191" s="4" t="n"/>
      <c r="D191" s="4" t="n"/>
    </row>
    <row r="192">
      <c r="A192" s="8" t="inlineStr">
        <is>
          <t>UPSIDE SCENARIO</t>
        </is>
      </c>
      <c r="B192" s="4" t="n"/>
      <c r="C192" s="4" t="n"/>
      <c r="D192" s="4" t="n"/>
    </row>
    <row r="193">
      <c r="A193" s="4" t="inlineStr">
        <is>
          <t>Yield adjustment (%)</t>
        </is>
      </c>
      <c r="B193" s="4" t="n"/>
      <c r="C193" s="7" t="n">
        <v>10</v>
      </c>
      <c r="D193" s="6" t="inlineStr">
        <is>
          <t>INPUT</t>
        </is>
      </c>
    </row>
    <row r="194">
      <c r="A194" s="4" t="inlineStr">
        <is>
          <t>Price adjustment (%)</t>
        </is>
      </c>
      <c r="B194" s="4" t="n"/>
      <c r="C194" s="7" t="n">
        <v>10</v>
      </c>
      <c r="D194" s="6" t="inlineStr">
        <is>
          <t>INPUT</t>
        </is>
      </c>
    </row>
    <row r="195">
      <c r="A195" s="4" t="inlineStr">
        <is>
          <t>CAPEX savings (%)</t>
        </is>
      </c>
      <c r="B195" s="4" t="n"/>
      <c r="C195" s="7" t="n">
        <v>-5</v>
      </c>
      <c r="D195" s="6" t="inlineStr">
        <is>
          <t>INPUT</t>
        </is>
      </c>
    </row>
    <row r="196">
      <c r="A196" s="4" t="inlineStr">
        <is>
          <t>Operating cost reduction (%)</t>
        </is>
      </c>
      <c r="B196" s="4" t="n"/>
      <c r="C196" s="7" t="n">
        <v>-5</v>
      </c>
      <c r="D196" s="6" t="inlineStr">
        <is>
          <t>INPUT</t>
        </is>
      </c>
    </row>
    <row r="197">
      <c r="A197" s="4" t="inlineStr">
        <is>
          <t>Accelerated ramp-up (months)</t>
        </is>
      </c>
      <c r="B197" s="4" t="n"/>
      <c r="C197" s="7" t="n">
        <v>-3</v>
      </c>
      <c r="D197" s="6" t="inlineStr">
        <is>
          <t>INPUT</t>
        </is>
      </c>
    </row>
  </sheetData>
  <mergeCells count="13">
    <mergeCell ref="A1:D1"/>
    <mergeCell ref="A53:D53"/>
    <mergeCell ref="A184:D184"/>
    <mergeCell ref="A34:D34"/>
    <mergeCell ref="A4:D4"/>
    <mergeCell ref="A170:D170"/>
    <mergeCell ref="A87:D87"/>
    <mergeCell ref="A125:D125"/>
    <mergeCell ref="A2:D2"/>
    <mergeCell ref="A11:D11"/>
    <mergeCell ref="A160:D160"/>
    <mergeCell ref="A178:D178"/>
    <mergeCell ref="A138:D1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</cols>
  <sheetData>
    <row r="1">
      <c r="A1" s="1" t="inlineStr">
        <is>
          <t>CALCULATIONS (Auto-Calculated from Assumptions)</t>
        </is>
      </c>
    </row>
    <row r="3">
      <c r="A3" s="10" t="inlineStr">
        <is>
          <t>DERIVED VALUES</t>
        </is>
      </c>
    </row>
    <row r="4">
      <c r="A4" t="inlineStr">
        <is>
          <t>G1 seed output (tonnes/year)</t>
        </is>
      </c>
      <c r="B4" s="11">
        <f>Assumptions!C14*Assumptions!C15*(1-Assumptions!C16/100)</f>
        <v/>
      </c>
      <c r="C4" t="inlineStr">
        <is>
          <t>tonnes</t>
        </is>
      </c>
    </row>
    <row r="5">
      <c r="A5" t="inlineStr">
        <is>
          <t>Total Phase 1 CAPEX</t>
        </is>
      </c>
      <c r="B5" s="11">
        <f>(Assumptions!C84+Assumptions!C85+Assumptions!C86+Assumptions!C87)*(1+Assumptions!C88/100)</f>
        <v/>
      </c>
      <c r="C5" t="inlineStr">
        <is>
          <t>XAF</t>
        </is>
      </c>
    </row>
    <row r="6">
      <c r="A6" t="inlineStr">
        <is>
          <t>Total Phase 2 CAPEX</t>
        </is>
      </c>
      <c r="B6" s="11">
        <f>(Assumptions!C91+Assumptions!C92+Assumptions!C93+Assumptions!C94)*(1+Assumptions!C95/100)</f>
        <v/>
      </c>
      <c r="C6" t="inlineStr">
        <is>
          <t>XAF</t>
        </is>
      </c>
    </row>
    <row r="7">
      <c r="A7" t="inlineStr">
        <is>
          <t>Total Phase 3 CAPEX</t>
        </is>
      </c>
      <c r="B7" s="11">
        <f>(Assumptions!C98+Assumptions!C99+Assumptions!C100+Assumptions!C101+Assumptions!C102+Assumptions!C103)*(1+Assumptions!C104/100)</f>
        <v/>
      </c>
      <c r="C7" t="inlineStr">
        <is>
          <t>XAF</t>
        </is>
      </c>
    </row>
    <row r="8">
      <c r="A8" t="inlineStr">
        <is>
          <t>Total Phase 4 CAPEX</t>
        </is>
      </c>
      <c r="B8" s="11">
        <f>(Assumptions!C107*Assumptions!C108+Assumptions!C109*Assumptions!C110+Assumptions!C111)*(1+Assumptions!C112/100)</f>
        <v/>
      </c>
      <c r="C8" t="inlineStr">
        <is>
          <t>XAF</t>
        </is>
      </c>
    </row>
    <row r="9">
      <c r="A9" t="inlineStr">
        <is>
          <t>Total Phase 5 CAPEX</t>
        </is>
      </c>
      <c r="B9" s="11">
        <f>(Assumptions!C115+Assumptions!C116+Assumptions!C117)*(1+Assumptions!C118/100)</f>
        <v/>
      </c>
      <c r="C9" t="inlineStr">
        <is>
          <t>XAF</t>
        </is>
      </c>
    </row>
    <row r="10">
      <c r="A10" s="10" t="inlineStr">
        <is>
          <t>TOTAL PROJECT CAPEX</t>
        </is>
      </c>
      <c r="B10" s="11">
        <f>SUM(B4:B8)</f>
        <v/>
      </c>
      <c r="C10" t="inlineStr">
        <is>
          <t>XAF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REVENUE PROJECTIONS</t>
        </is>
      </c>
    </row>
    <row r="3">
      <c r="A3" t="inlineStr">
        <is>
          <t>Revenue Stream</t>
        </is>
      </c>
      <c r="B3" s="12" t="inlineStr">
        <is>
          <t>Year 1</t>
        </is>
      </c>
      <c r="C3" s="12" t="inlineStr">
        <is>
          <t>Year 2</t>
        </is>
      </c>
      <c r="D3" s="12" t="inlineStr">
        <is>
          <t>Year 3</t>
        </is>
      </c>
      <c r="E3" s="12" t="inlineStr">
        <is>
          <t>Year 4</t>
        </is>
      </c>
      <c r="F3" s="12" t="inlineStr">
        <is>
          <t>Year 5</t>
        </is>
      </c>
      <c r="G3" s="12" t="inlineStr">
        <is>
          <t>Year 6</t>
        </is>
      </c>
      <c r="H3" s="12" t="inlineStr">
        <is>
          <t>Year 7</t>
        </is>
      </c>
      <c r="I3" s="12" t="inlineStr">
        <is>
          <t>Year 8</t>
        </is>
      </c>
      <c r="J3" s="12" t="inlineStr">
        <is>
          <t>Year 9</t>
        </is>
      </c>
      <c r="K3" s="12" t="inlineStr">
        <is>
          <t>Year 10</t>
        </is>
      </c>
    </row>
    <row r="4">
      <c r="A4" s="13" t="inlineStr">
        <is>
          <t>SEED REVENUE</t>
        </is>
      </c>
    </row>
    <row r="5">
      <c r="A5" t="inlineStr">
        <is>
          <t>G1 seed sales volume (kg)</t>
        </is>
      </c>
      <c r="B5" s="14">
        <f>Calculations!$B$4*1000</f>
        <v/>
      </c>
      <c r="C5" s="14">
        <f>Calculations!$B$4*1000</f>
        <v/>
      </c>
      <c r="D5" s="14">
        <f>Calculations!$B$4*1000</f>
        <v/>
      </c>
      <c r="E5" s="14">
        <f>Calculations!$B$4*1000</f>
        <v/>
      </c>
      <c r="F5" s="14">
        <f>Calculations!$B$4*1000</f>
        <v/>
      </c>
      <c r="G5" s="14">
        <f>Calculations!$B$4*1000</f>
        <v/>
      </c>
      <c r="H5" s="14">
        <f>Calculations!$B$4*1000</f>
        <v/>
      </c>
      <c r="I5" s="14">
        <f>Calculations!$B$4*1000</f>
        <v/>
      </c>
      <c r="J5" s="14">
        <f>Calculations!$B$4*1000</f>
        <v/>
      </c>
      <c r="K5" s="14">
        <f>Calculations!$B$4*1000</f>
        <v/>
      </c>
    </row>
    <row r="6">
      <c r="A6" t="inlineStr">
        <is>
          <t>G1 seed price (XAF/kg)</t>
        </is>
      </c>
      <c r="B6" s="14">
        <f>Assumptions!$C$43*(1+Assumptions!$C$44/100)^(COLUMN()-2)</f>
        <v/>
      </c>
      <c r="C6" s="14">
        <f>Assumptions!$C$43*(1+Assumptions!$C$44/100)^(COLUMN()-2)</f>
        <v/>
      </c>
      <c r="D6" s="14">
        <f>Assumptions!$C$43*(1+Assumptions!$C$44/100)^(COLUMN()-2)</f>
        <v/>
      </c>
      <c r="E6" s="14">
        <f>Assumptions!$C$43*(1+Assumptions!$C$44/100)^(COLUMN()-2)</f>
        <v/>
      </c>
      <c r="F6" s="14">
        <f>Assumptions!$C$43*(1+Assumptions!$C$44/100)^(COLUMN()-2)</f>
        <v/>
      </c>
      <c r="G6" s="14">
        <f>Assumptions!$C$43*(1+Assumptions!$C$44/100)^(COLUMN()-2)</f>
        <v/>
      </c>
      <c r="H6" s="14">
        <f>Assumptions!$C$43*(1+Assumptions!$C$44/100)^(COLUMN()-2)</f>
        <v/>
      </c>
      <c r="I6" s="14">
        <f>Assumptions!$C$43*(1+Assumptions!$C$44/100)^(COLUMN()-2)</f>
        <v/>
      </c>
      <c r="J6" s="14">
        <f>Assumptions!$C$43*(1+Assumptions!$C$44/100)^(COLUMN()-2)</f>
        <v/>
      </c>
      <c r="K6" s="14">
        <f>Assumptions!$C$43*(1+Assumptions!$C$44/100)^(COLUMN()-2)</f>
        <v/>
      </c>
    </row>
    <row r="7">
      <c r="A7" t="inlineStr">
        <is>
          <t>Seed revenue (XAF)</t>
        </is>
      </c>
      <c r="B7" s="14">
        <f>B5*B6</f>
        <v/>
      </c>
      <c r="C7" s="14">
        <f>B5*B6</f>
        <v/>
      </c>
      <c r="D7" s="14">
        <f>B5*B6</f>
        <v/>
      </c>
      <c r="E7" s="14">
        <f>B5*B6</f>
        <v/>
      </c>
      <c r="F7" s="14">
        <f>B5*B6</f>
        <v/>
      </c>
      <c r="G7" s="14">
        <f>B5*B6</f>
        <v/>
      </c>
      <c r="H7" s="14">
        <f>B5*B6</f>
        <v/>
      </c>
      <c r="I7" s="14">
        <f>B5*B6</f>
        <v/>
      </c>
      <c r="J7" s="14">
        <f>B5*B6</f>
        <v/>
      </c>
      <c r="K7" s="14">
        <f>B5*B6</f>
        <v/>
      </c>
    </row>
    <row r="8"/>
    <row r="9">
      <c r="A9" s="13" t="inlineStr">
        <is>
          <t>PROCESSED PRODUCTS REVENUE</t>
        </is>
      </c>
    </row>
    <row r="10">
      <c r="A10" t="inlineStr">
        <is>
          <t>Processing volume (tonnes)</t>
        </is>
      </c>
      <c r="B10" s="14">
        <f>Assumptions!$C$32*Assumptions!$C$33*Assumptions!$C$34*IF(COLUMN()=2,Assumptions!$C$35,IF(COLUMN()=3,Assumptions!$C$36,Assumptions!$C$37))/100</f>
        <v/>
      </c>
      <c r="C10" s="14">
        <f>Assumptions!$C$32*Assumptions!$C$33*Assumptions!$C$34*IF(COLUMN()=2,Assumptions!$C$35,IF(COLUMN()=3,Assumptions!$C$36,Assumptions!$C$37))/100</f>
        <v/>
      </c>
      <c r="D10" s="14">
        <f>Assumptions!$C$32*Assumptions!$C$33*Assumptions!$C$34*IF(COLUMN()=2,Assumptions!$C$35,IF(COLUMN()=3,Assumptions!$C$36,Assumptions!$C$37))/100</f>
        <v/>
      </c>
      <c r="E10" s="14">
        <f>Assumptions!$C$32*Assumptions!$C$33*Assumptions!$C$34*IF(COLUMN()=2,Assumptions!$C$35,IF(COLUMN()=3,Assumptions!$C$36,Assumptions!$C$37))/100</f>
        <v/>
      </c>
      <c r="F10" s="14">
        <f>Assumptions!$C$32*Assumptions!$C$33*Assumptions!$C$34*IF(COLUMN()=2,Assumptions!$C$35,IF(COLUMN()=3,Assumptions!$C$36,Assumptions!$C$37))/100</f>
        <v/>
      </c>
      <c r="G10" s="14">
        <f>Assumptions!$C$32*Assumptions!$C$33*Assumptions!$C$34*IF(COLUMN()=2,Assumptions!$C$35,IF(COLUMN()=3,Assumptions!$C$36,Assumptions!$C$37))/100</f>
        <v/>
      </c>
      <c r="H10" s="14">
        <f>Assumptions!$C$32*Assumptions!$C$33*Assumptions!$C$34*IF(COLUMN()=2,Assumptions!$C$35,IF(COLUMN()=3,Assumptions!$C$36,Assumptions!$C$37))/100</f>
        <v/>
      </c>
      <c r="I10" s="14">
        <f>Assumptions!$C$32*Assumptions!$C$33*Assumptions!$C$34*IF(COLUMN()=2,Assumptions!$C$35,IF(COLUMN()=3,Assumptions!$C$36,Assumptions!$C$37))/100</f>
        <v/>
      </c>
      <c r="J10" s="14">
        <f>Assumptions!$C$32*Assumptions!$C$33*Assumptions!$C$34*IF(COLUMN()=2,Assumptions!$C$35,IF(COLUMN()=3,Assumptions!$C$36,Assumptions!$C$37))/100</f>
        <v/>
      </c>
      <c r="K10" s="14">
        <f>Assumptions!$C$32*Assumptions!$C$33*Assumptions!$C$34*IF(COLUMN()=2,Assumptions!$C$35,IF(COLUMN()=3,Assumptions!$C$36,Assumptions!$C$37))/100</f>
        <v/>
      </c>
    </row>
    <row r="11">
      <c r="A11" t="inlineStr">
        <is>
          <t>French fries revenue (XAF)</t>
        </is>
      </c>
      <c r="B11" s="14">
        <f>B11*Assumptions!$C$55/100*Assumptions!$C$51*(1+Assumptions!$C$48/100)^(COLUMN()-2)*1000</f>
        <v/>
      </c>
      <c r="C11" s="14">
        <f>B11*Assumptions!$C$55/100*Assumptions!$C$51*(1+Assumptions!$C$48/100)^(COLUMN()-2)*1000</f>
        <v/>
      </c>
      <c r="D11" s="14">
        <f>B11*Assumptions!$C$55/100*Assumptions!$C$51*(1+Assumptions!$C$48/100)^(COLUMN()-2)*1000</f>
        <v/>
      </c>
      <c r="E11" s="14">
        <f>B11*Assumptions!$C$55/100*Assumptions!$C$51*(1+Assumptions!$C$48/100)^(COLUMN()-2)*1000</f>
        <v/>
      </c>
      <c r="F11" s="14">
        <f>B11*Assumptions!$C$55/100*Assumptions!$C$51*(1+Assumptions!$C$48/100)^(COLUMN()-2)*1000</f>
        <v/>
      </c>
      <c r="G11" s="14">
        <f>B11*Assumptions!$C$55/100*Assumptions!$C$51*(1+Assumptions!$C$48/100)^(COLUMN()-2)*1000</f>
        <v/>
      </c>
      <c r="H11" s="14">
        <f>B11*Assumptions!$C$55/100*Assumptions!$C$51*(1+Assumptions!$C$48/100)^(COLUMN()-2)*1000</f>
        <v/>
      </c>
      <c r="I11" s="14">
        <f>B11*Assumptions!$C$55/100*Assumptions!$C$51*(1+Assumptions!$C$48/100)^(COLUMN()-2)*1000</f>
        <v/>
      </c>
      <c r="J11" s="14">
        <f>B11*Assumptions!$C$55/100*Assumptions!$C$51*(1+Assumptions!$C$48/100)^(COLUMN()-2)*1000</f>
        <v/>
      </c>
      <c r="K11" s="14">
        <f>B11*Assumptions!$C$55/100*Assumptions!$C$51*(1+Assumptions!$C$48/100)^(COLUMN()-2)*1000</f>
        <v/>
      </c>
    </row>
    <row r="12">
      <c r="A12" t="inlineStr">
        <is>
          <t>Fresh pack revenue (XAF)</t>
        </is>
      </c>
      <c r="B12" s="14">
        <f>B11*(100-Assumptions!$C$55)/100*Assumptions!$C$50*(1+Assumptions!$C$48/100)^(COLUMN()-2)*1000</f>
        <v/>
      </c>
      <c r="C12" s="14">
        <f>B11*(100-Assumptions!$C$55)/100*Assumptions!$C$50*(1+Assumptions!$C$48/100)^(COLUMN()-2)*1000</f>
        <v/>
      </c>
      <c r="D12" s="14">
        <f>B11*(100-Assumptions!$C$55)/100*Assumptions!$C$50*(1+Assumptions!$C$48/100)^(COLUMN()-2)*1000</f>
        <v/>
      </c>
      <c r="E12" s="14">
        <f>B11*(100-Assumptions!$C$55)/100*Assumptions!$C$50*(1+Assumptions!$C$48/100)^(COLUMN()-2)*1000</f>
        <v/>
      </c>
      <c r="F12" s="14">
        <f>B11*(100-Assumptions!$C$55)/100*Assumptions!$C$50*(1+Assumptions!$C$48/100)^(COLUMN()-2)*1000</f>
        <v/>
      </c>
      <c r="G12" s="14">
        <f>B11*(100-Assumptions!$C$55)/100*Assumptions!$C$50*(1+Assumptions!$C$48/100)^(COLUMN()-2)*1000</f>
        <v/>
      </c>
      <c r="H12" s="14">
        <f>B11*(100-Assumptions!$C$55)/100*Assumptions!$C$50*(1+Assumptions!$C$48/100)^(COLUMN()-2)*1000</f>
        <v/>
      </c>
      <c r="I12" s="14">
        <f>B11*(100-Assumptions!$C$55)/100*Assumptions!$C$50*(1+Assumptions!$C$48/100)^(COLUMN()-2)*1000</f>
        <v/>
      </c>
      <c r="J12" s="14">
        <f>B11*(100-Assumptions!$C$55)/100*Assumptions!$C$50*(1+Assumptions!$C$48/100)^(COLUMN()-2)*1000</f>
        <v/>
      </c>
      <c r="K12" s="14">
        <f>B11*(100-Assumptions!$C$55)/100*Assumptions!$C$50*(1+Assumptions!$C$48/100)^(COLUMN()-2)*1000</f>
        <v/>
      </c>
    </row>
    <row r="13"/>
    <row r="14">
      <c r="A14" s="3" t="inlineStr">
        <is>
          <t>TOTAL REVENUE (XAF)</t>
        </is>
      </c>
      <c r="B14" s="14">
        <f>B8+B12+B13</f>
        <v/>
      </c>
      <c r="C14" s="14">
        <f>B8+B12+B13</f>
        <v/>
      </c>
      <c r="D14" s="14">
        <f>B8+B12+B13</f>
        <v/>
      </c>
      <c r="E14" s="14">
        <f>B8+B12+B13</f>
        <v/>
      </c>
      <c r="F14" s="14">
        <f>B8+B12+B13</f>
        <v/>
      </c>
      <c r="G14" s="14">
        <f>B8+B12+B13</f>
        <v/>
      </c>
      <c r="H14" s="14">
        <f>B8+B12+B13</f>
        <v/>
      </c>
      <c r="I14" s="14">
        <f>B8+B12+B13</f>
        <v/>
      </c>
      <c r="J14" s="14">
        <f>B8+B12+B13</f>
        <v/>
      </c>
      <c r="K14" s="14">
        <f>B8+B12+B13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OPERATING COSTS</t>
        </is>
      </c>
    </row>
    <row r="3">
      <c r="A3" t="inlineStr">
        <is>
          <t>Cost Category</t>
        </is>
      </c>
      <c r="B3" s="12" t="inlineStr">
        <is>
          <t>Year 1</t>
        </is>
      </c>
      <c r="C3" s="12" t="inlineStr">
        <is>
          <t>Year 2</t>
        </is>
      </c>
      <c r="D3" s="12" t="inlineStr">
        <is>
          <t>Year 3</t>
        </is>
      </c>
      <c r="E3" s="12" t="inlineStr">
        <is>
          <t>Year 4</t>
        </is>
      </c>
      <c r="F3" s="12" t="inlineStr">
        <is>
          <t>Year 5</t>
        </is>
      </c>
      <c r="G3" s="12" t="inlineStr">
        <is>
          <t>Year 6</t>
        </is>
      </c>
      <c r="H3" s="12" t="inlineStr">
        <is>
          <t>Year 7</t>
        </is>
      </c>
      <c r="I3" s="12" t="inlineStr">
        <is>
          <t>Year 8</t>
        </is>
      </c>
      <c r="J3" s="12" t="inlineStr">
        <is>
          <t>Year 9</t>
        </is>
      </c>
      <c r="K3" s="12" t="inlineStr">
        <is>
          <t>Year 10</t>
        </is>
      </c>
    </row>
    <row r="4">
      <c r="A4" s="15" t="inlineStr">
        <is>
          <t>SEED PRODUCTION COSTS</t>
        </is>
      </c>
    </row>
    <row r="5">
      <c r="A5" t="inlineStr">
        <is>
          <t>G0 import cost</t>
        </is>
      </c>
      <c r="B5" s="14">
        <f>Assumptions!$C$68*Assumptions!$C$14*1000*(1+Assumptions!$C$119/100)^(COLUMN()-2)</f>
        <v/>
      </c>
      <c r="C5" s="14">
        <f>Assumptions!$C$68*Assumptions!$C$14*1000*(1+Assumptions!$C$119/100)^(COLUMN()-2)</f>
        <v/>
      </c>
      <c r="D5" s="14">
        <f>Assumptions!$C$68*Assumptions!$C$14*1000*(1+Assumptions!$C$119/100)^(COLUMN()-2)</f>
        <v/>
      </c>
      <c r="E5" s="14">
        <f>Assumptions!$C$68*Assumptions!$C$14*1000*(1+Assumptions!$C$119/100)^(COLUMN()-2)</f>
        <v/>
      </c>
      <c r="F5" s="14">
        <f>Assumptions!$C$68*Assumptions!$C$14*1000*(1+Assumptions!$C$119/100)^(COLUMN()-2)</f>
        <v/>
      </c>
      <c r="G5" s="14">
        <f>Assumptions!$C$68*Assumptions!$C$14*1000*(1+Assumptions!$C$119/100)^(COLUMN()-2)</f>
        <v/>
      </c>
      <c r="H5" s="14">
        <f>Assumptions!$C$68*Assumptions!$C$14*1000*(1+Assumptions!$C$119/100)^(COLUMN()-2)</f>
        <v/>
      </c>
      <c r="I5" s="14">
        <f>Assumptions!$C$68*Assumptions!$C$14*1000*(1+Assumptions!$C$119/100)^(COLUMN()-2)</f>
        <v/>
      </c>
      <c r="J5" s="14">
        <f>Assumptions!$C$68*Assumptions!$C$14*1000*(1+Assumptions!$C$119/100)^(COLUMN()-2)</f>
        <v/>
      </c>
      <c r="K5" s="14">
        <f>Assumptions!$C$68*Assumptions!$C$14*1000*(1+Assumptions!$C$119/100)^(COLUMN()-2)</f>
        <v/>
      </c>
    </row>
    <row r="6">
      <c r="A6" t="inlineStr">
        <is>
          <t>Multiplication cost</t>
        </is>
      </c>
      <c r="B6" s="14">
        <f>Assumptions!$C$69*Calculations!$B$4*1000*(1+Assumptions!$C$119/100)^(COLUMN()-2)</f>
        <v/>
      </c>
      <c r="C6" s="14">
        <f>Assumptions!$C$69*Calculations!$B$4*1000*(1+Assumptions!$C$119/100)^(COLUMN()-2)</f>
        <v/>
      </c>
      <c r="D6" s="14">
        <f>Assumptions!$C$69*Calculations!$B$4*1000*(1+Assumptions!$C$119/100)^(COLUMN()-2)</f>
        <v/>
      </c>
      <c r="E6" s="14">
        <f>Assumptions!$C$69*Calculations!$B$4*1000*(1+Assumptions!$C$119/100)^(COLUMN()-2)</f>
        <v/>
      </c>
      <c r="F6" s="14">
        <f>Assumptions!$C$69*Calculations!$B$4*1000*(1+Assumptions!$C$119/100)^(COLUMN()-2)</f>
        <v/>
      </c>
      <c r="G6" s="14">
        <f>Assumptions!$C$69*Calculations!$B$4*1000*(1+Assumptions!$C$119/100)^(COLUMN()-2)</f>
        <v/>
      </c>
      <c r="H6" s="14">
        <f>Assumptions!$C$69*Calculations!$B$4*1000*(1+Assumptions!$C$119/100)^(COLUMN()-2)</f>
        <v/>
      </c>
      <c r="I6" s="14">
        <f>Assumptions!$C$69*Calculations!$B$4*1000*(1+Assumptions!$C$119/100)^(COLUMN()-2)</f>
        <v/>
      </c>
      <c r="J6" s="14">
        <f>Assumptions!$C$69*Calculations!$B$4*1000*(1+Assumptions!$C$119/100)^(COLUMN()-2)</f>
        <v/>
      </c>
      <c r="K6" s="14">
        <f>Assumptions!$C$69*Calculations!$B$4*1000*(1+Assumptions!$C$119/100)^(COLUMN()-2)</f>
        <v/>
      </c>
    </row>
    <row r="7">
      <c r="A7" s="16" t="inlineStr">
        <is>
          <t>Total seed costs</t>
        </is>
      </c>
      <c r="B7" s="14">
        <f>SUM(B5:B6)</f>
        <v/>
      </c>
      <c r="C7" s="14">
        <f>SUM(B5:B6)</f>
        <v/>
      </c>
      <c r="D7" s="14">
        <f>SUM(B5:B6)</f>
        <v/>
      </c>
      <c r="E7" s="14">
        <f>SUM(B5:B6)</f>
        <v/>
      </c>
      <c r="F7" s="14">
        <f>SUM(B5:B6)</f>
        <v/>
      </c>
      <c r="G7" s="14">
        <f>SUM(B5:B6)</f>
        <v/>
      </c>
      <c r="H7" s="14">
        <f>SUM(B5:B6)</f>
        <v/>
      </c>
      <c r="I7" s="14">
        <f>SUM(B5:B6)</f>
        <v/>
      </c>
      <c r="J7" s="14">
        <f>SUM(B5:B6)</f>
        <v/>
      </c>
      <c r="K7" s="14">
        <f>SUM(B5:B6)</f>
        <v/>
      </c>
    </row>
    <row r="8"/>
    <row r="9">
      <c r="A9" s="15" t="inlineStr">
        <is>
          <t>OUTGROWER COSTS</t>
        </is>
      </c>
    </row>
    <row r="10">
      <c r="A10" t="inlineStr">
        <is>
          <t>Input packages</t>
        </is>
      </c>
      <c r="B10" s="14">
        <f>IF(COLUMN()=2,Assumptions!$C$19,IF(COLUMN()=3,Assumptions!$C$20,Assumptions!$C$21))*Assumptions!$C$73*(1+Assumptions!$C$119/100)^(COLUMN()-2)</f>
        <v/>
      </c>
      <c r="C10" s="14">
        <f>IF(COLUMN()=2,Assumptions!$C$19,IF(COLUMN()=3,Assumptions!$C$20,Assumptions!$C$21))*Assumptions!$C$73*(1+Assumptions!$C$119/100)^(COLUMN()-2)</f>
        <v/>
      </c>
      <c r="D10" s="14">
        <f>IF(COLUMN()=2,Assumptions!$C$19,IF(COLUMN()=3,Assumptions!$C$20,Assumptions!$C$21))*Assumptions!$C$73*(1+Assumptions!$C$119/100)^(COLUMN()-2)</f>
        <v/>
      </c>
      <c r="E10" s="14">
        <f>IF(COLUMN()=2,Assumptions!$C$19,IF(COLUMN()=3,Assumptions!$C$20,Assumptions!$C$21))*Assumptions!$C$73*(1+Assumptions!$C$119/100)^(COLUMN()-2)</f>
        <v/>
      </c>
      <c r="F10" s="14">
        <f>IF(COLUMN()=2,Assumptions!$C$19,IF(COLUMN()=3,Assumptions!$C$20,Assumptions!$C$21))*Assumptions!$C$73*(1+Assumptions!$C$119/100)^(COLUMN()-2)</f>
        <v/>
      </c>
      <c r="G10" s="14">
        <f>IF(COLUMN()=2,Assumptions!$C$19,IF(COLUMN()=3,Assumptions!$C$20,Assumptions!$C$21))*Assumptions!$C$73*(1+Assumptions!$C$119/100)^(COLUMN()-2)</f>
        <v/>
      </c>
      <c r="H10" s="14">
        <f>IF(COLUMN()=2,Assumptions!$C$19,IF(COLUMN()=3,Assumptions!$C$20,Assumptions!$C$21))*Assumptions!$C$73*(1+Assumptions!$C$119/100)^(COLUMN()-2)</f>
        <v/>
      </c>
      <c r="I10" s="14">
        <f>IF(COLUMN()=2,Assumptions!$C$19,IF(COLUMN()=3,Assumptions!$C$20,Assumptions!$C$21))*Assumptions!$C$73*(1+Assumptions!$C$119/100)^(COLUMN()-2)</f>
        <v/>
      </c>
      <c r="J10" s="14">
        <f>IF(COLUMN()=2,Assumptions!$C$19,IF(COLUMN()=3,Assumptions!$C$20,Assumptions!$C$21))*Assumptions!$C$73*(1+Assumptions!$C$119/100)^(COLUMN()-2)</f>
        <v/>
      </c>
      <c r="K10" s="14">
        <f>IF(COLUMN()=2,Assumptions!$C$19,IF(COLUMN()=3,Assumptions!$C$20,Assumptions!$C$21))*Assumptions!$C$73*(1+Assumptions!$C$119/100)^(COLUMN()-2)</f>
        <v/>
      </c>
    </row>
    <row r="11">
      <c r="A11" t="inlineStr">
        <is>
          <t>Extension services</t>
        </is>
      </c>
      <c r="B11" s="14">
        <f>IF(COLUMN()=2,Assumptions!$C$19,IF(COLUMN()=3,Assumptions!$C$20,Assumptions!$C$21))*Assumptions!$C$74*(1+Assumptions!$C$119/100)^(COLUMN()-2)</f>
        <v/>
      </c>
      <c r="C11" s="14">
        <f>IF(COLUMN()=2,Assumptions!$C$19,IF(COLUMN()=3,Assumptions!$C$20,Assumptions!$C$21))*Assumptions!$C$74*(1+Assumptions!$C$119/100)^(COLUMN()-2)</f>
        <v/>
      </c>
      <c r="D11" s="14">
        <f>IF(COLUMN()=2,Assumptions!$C$19,IF(COLUMN()=3,Assumptions!$C$20,Assumptions!$C$21))*Assumptions!$C$74*(1+Assumptions!$C$119/100)^(COLUMN()-2)</f>
        <v/>
      </c>
      <c r="E11" s="14">
        <f>IF(COLUMN()=2,Assumptions!$C$19,IF(COLUMN()=3,Assumptions!$C$20,Assumptions!$C$21))*Assumptions!$C$74*(1+Assumptions!$C$119/100)^(COLUMN()-2)</f>
        <v/>
      </c>
      <c r="F11" s="14">
        <f>IF(COLUMN()=2,Assumptions!$C$19,IF(COLUMN()=3,Assumptions!$C$20,Assumptions!$C$21))*Assumptions!$C$74*(1+Assumptions!$C$119/100)^(COLUMN()-2)</f>
        <v/>
      </c>
      <c r="G11" s="14">
        <f>IF(COLUMN()=2,Assumptions!$C$19,IF(COLUMN()=3,Assumptions!$C$20,Assumptions!$C$21))*Assumptions!$C$74*(1+Assumptions!$C$119/100)^(COLUMN()-2)</f>
        <v/>
      </c>
      <c r="H11" s="14">
        <f>IF(COLUMN()=2,Assumptions!$C$19,IF(COLUMN()=3,Assumptions!$C$20,Assumptions!$C$21))*Assumptions!$C$74*(1+Assumptions!$C$119/100)^(COLUMN()-2)</f>
        <v/>
      </c>
      <c r="I11" s="14">
        <f>IF(COLUMN()=2,Assumptions!$C$19,IF(COLUMN()=3,Assumptions!$C$20,Assumptions!$C$21))*Assumptions!$C$74*(1+Assumptions!$C$119/100)^(COLUMN()-2)</f>
        <v/>
      </c>
      <c r="J11" s="14">
        <f>IF(COLUMN()=2,Assumptions!$C$19,IF(COLUMN()=3,Assumptions!$C$20,Assumptions!$C$21))*Assumptions!$C$74*(1+Assumptions!$C$119/100)^(COLUMN()-2)</f>
        <v/>
      </c>
      <c r="K11" s="14">
        <f>IF(COLUMN()=2,Assumptions!$C$19,IF(COLUMN()=3,Assumptions!$C$20,Assumptions!$C$21))*Assumptions!$C$74*(1+Assumptions!$C$119/100)^(COLUMN()-2)</f>
        <v/>
      </c>
    </row>
    <row r="12">
      <c r="A12" s="16" t="inlineStr">
        <is>
          <t>Total outgrower costs</t>
        </is>
      </c>
      <c r="B12" s="14">
        <f>SUM(B10:B11)</f>
        <v/>
      </c>
      <c r="C12" s="14">
        <f>SUM(B10:B11)</f>
        <v/>
      </c>
      <c r="D12" s="14">
        <f>SUM(B10:B11)</f>
        <v/>
      </c>
      <c r="E12" s="14">
        <f>SUM(B10:B11)</f>
        <v/>
      </c>
      <c r="F12" s="14">
        <f>SUM(B10:B11)</f>
        <v/>
      </c>
      <c r="G12" s="14">
        <f>SUM(B10:B11)</f>
        <v/>
      </c>
      <c r="H12" s="14">
        <f>SUM(B10:B11)</f>
        <v/>
      </c>
      <c r="I12" s="14">
        <f>SUM(B10:B11)</f>
        <v/>
      </c>
      <c r="J12" s="14">
        <f>SUM(B10:B11)</f>
        <v/>
      </c>
      <c r="K12" s="14">
        <f>SUM(B10:B11)</f>
        <v/>
      </c>
    </row>
    <row r="13"/>
    <row r="14">
      <c r="A14" s="15" t="inlineStr">
        <is>
          <t>PROCESSING COSTS</t>
        </is>
      </c>
    </row>
    <row r="15">
      <c r="A15" t="inlineStr">
        <is>
          <t>Direct labor</t>
        </is>
      </c>
      <c r="B15" s="14">
        <f>Revenue!B11*1000*(Assumptions!$C$78+Assumptions!$C$79+Assumptions!$C$80+Assumptions!$C$81+Assumptions!$C$82)*(1+Assumptions!$C$119/100)^(COLUMN()-2)</f>
        <v/>
      </c>
      <c r="C15" s="14">
        <f>Revenue!B11*1000*(Assumptions!$C$78+Assumptions!$C$79+Assumptions!$C$80+Assumptions!$C$81+Assumptions!$C$82)*(1+Assumptions!$C$119/100)^(COLUMN()-2)</f>
        <v/>
      </c>
      <c r="D15" s="14">
        <f>Revenue!B11*1000*(Assumptions!$C$78+Assumptions!$C$79+Assumptions!$C$80+Assumptions!$C$81+Assumptions!$C$82)*(1+Assumptions!$C$119/100)^(COLUMN()-2)</f>
        <v/>
      </c>
      <c r="E15" s="14">
        <f>Revenue!B11*1000*(Assumptions!$C$78+Assumptions!$C$79+Assumptions!$C$80+Assumptions!$C$81+Assumptions!$C$82)*(1+Assumptions!$C$119/100)^(COLUMN()-2)</f>
        <v/>
      </c>
      <c r="F15" s="14">
        <f>Revenue!B11*1000*(Assumptions!$C$78+Assumptions!$C$79+Assumptions!$C$80+Assumptions!$C$81+Assumptions!$C$82)*(1+Assumptions!$C$119/100)^(COLUMN()-2)</f>
        <v/>
      </c>
      <c r="G15" s="14">
        <f>Revenue!B11*1000*(Assumptions!$C$78+Assumptions!$C$79+Assumptions!$C$80+Assumptions!$C$81+Assumptions!$C$82)*(1+Assumptions!$C$119/100)^(COLUMN()-2)</f>
        <v/>
      </c>
      <c r="H15" s="14">
        <f>Revenue!B11*1000*(Assumptions!$C$78+Assumptions!$C$79+Assumptions!$C$80+Assumptions!$C$81+Assumptions!$C$82)*(1+Assumptions!$C$119/100)^(COLUMN()-2)</f>
        <v/>
      </c>
      <c r="I15" s="14">
        <f>Revenue!B11*1000*(Assumptions!$C$78+Assumptions!$C$79+Assumptions!$C$80+Assumptions!$C$81+Assumptions!$C$82)*(1+Assumptions!$C$119/100)^(COLUMN()-2)</f>
        <v/>
      </c>
      <c r="J15" s="14">
        <f>Revenue!B11*1000*(Assumptions!$C$78+Assumptions!$C$79+Assumptions!$C$80+Assumptions!$C$81+Assumptions!$C$82)*(1+Assumptions!$C$119/100)^(COLUMN()-2)</f>
        <v/>
      </c>
      <c r="K15" s="14">
        <f>Revenue!B11*1000*(Assumptions!$C$78+Assumptions!$C$79+Assumptions!$C$80+Assumptions!$C$81+Assumptions!$C$82)*(1+Assumptions!$C$119/100)^(COLUMN()-2)</f>
        <v/>
      </c>
    </row>
    <row r="16">
      <c r="A16" t="inlineStr">
        <is>
          <t>Maintenance</t>
        </is>
      </c>
      <c r="B16" s="14">
        <f>Calculations!$B$7*Assumptions!$C$83/100*(1+Assumptions!$C$119/100)^(COLUMN()-2)</f>
        <v/>
      </c>
      <c r="C16" s="14">
        <f>Calculations!$B$7*Assumptions!$C$83/100*(1+Assumptions!$C$119/100)^(COLUMN()-2)</f>
        <v/>
      </c>
      <c r="D16" s="14">
        <f>Calculations!$B$7*Assumptions!$C$83/100*(1+Assumptions!$C$119/100)^(COLUMN()-2)</f>
        <v/>
      </c>
      <c r="E16" s="14">
        <f>Calculations!$B$7*Assumptions!$C$83/100*(1+Assumptions!$C$119/100)^(COLUMN()-2)</f>
        <v/>
      </c>
      <c r="F16" s="14">
        <f>Calculations!$B$7*Assumptions!$C$83/100*(1+Assumptions!$C$119/100)^(COLUMN()-2)</f>
        <v/>
      </c>
      <c r="G16" s="14">
        <f>Calculations!$B$7*Assumptions!$C$83/100*(1+Assumptions!$C$119/100)^(COLUMN()-2)</f>
        <v/>
      </c>
      <c r="H16" s="14">
        <f>Calculations!$B$7*Assumptions!$C$83/100*(1+Assumptions!$C$119/100)^(COLUMN()-2)</f>
        <v/>
      </c>
      <c r="I16" s="14">
        <f>Calculations!$B$7*Assumptions!$C$83/100*(1+Assumptions!$C$119/100)^(COLUMN()-2)</f>
        <v/>
      </c>
      <c r="J16" s="14">
        <f>Calculations!$B$7*Assumptions!$C$83/100*(1+Assumptions!$C$119/100)^(COLUMN()-2)</f>
        <v/>
      </c>
      <c r="K16" s="14">
        <f>Calculations!$B$7*Assumptions!$C$83/100*(1+Assumptions!$C$119/100)^(COLUMN()-2)</f>
        <v/>
      </c>
    </row>
    <row r="17">
      <c r="A17" s="16" t="inlineStr">
        <is>
          <t>Total processing costs</t>
        </is>
      </c>
      <c r="B17" s="14">
        <f>SUM(B15:B16)</f>
        <v/>
      </c>
      <c r="C17" s="14">
        <f>SUM(B15:B16)</f>
        <v/>
      </c>
      <c r="D17" s="14">
        <f>SUM(B15:B16)</f>
        <v/>
      </c>
      <c r="E17" s="14">
        <f>SUM(B15:B16)</f>
        <v/>
      </c>
      <c r="F17" s="14">
        <f>SUM(B15:B16)</f>
        <v/>
      </c>
      <c r="G17" s="14">
        <f>SUM(B15:B16)</f>
        <v/>
      </c>
      <c r="H17" s="14">
        <f>SUM(B15:B16)</f>
        <v/>
      </c>
      <c r="I17" s="14">
        <f>SUM(B15:B16)</f>
        <v/>
      </c>
      <c r="J17" s="14">
        <f>SUM(B15:B16)</f>
        <v/>
      </c>
      <c r="K17" s="14">
        <f>SUM(B15:B16)</f>
        <v/>
      </c>
    </row>
    <row r="18"/>
    <row r="19">
      <c r="A19" t="inlineStr">
        <is>
          <t>OVERHEAD &amp; ADMINISTRATION</t>
        </is>
      </c>
    </row>
    <row r="20">
      <c r="A20" t="inlineStr">
        <is>
          <t>Salaries</t>
        </is>
      </c>
      <c r="B20" s="14">
        <f>(Assumptions!$C$86+Assumptions!$C$87+Assumptions!$C$88)*12*(1+Assumptions!$C$119/100)^(COLUMN()-2)</f>
        <v/>
      </c>
      <c r="C20" s="14">
        <f>(Assumptions!$C$86+Assumptions!$C$87+Assumptions!$C$88)*12*(1+Assumptions!$C$119/100)^(COLUMN()-2)</f>
        <v/>
      </c>
      <c r="D20" s="14">
        <f>(Assumptions!$C$86+Assumptions!$C$87+Assumptions!$C$88)*12*(1+Assumptions!$C$119/100)^(COLUMN()-2)</f>
        <v/>
      </c>
      <c r="E20" s="14">
        <f>(Assumptions!$C$86+Assumptions!$C$87+Assumptions!$C$88)*12*(1+Assumptions!$C$119/100)^(COLUMN()-2)</f>
        <v/>
      </c>
      <c r="F20" s="14">
        <f>(Assumptions!$C$86+Assumptions!$C$87+Assumptions!$C$88)*12*(1+Assumptions!$C$119/100)^(COLUMN()-2)</f>
        <v/>
      </c>
      <c r="G20" s="14">
        <f>(Assumptions!$C$86+Assumptions!$C$87+Assumptions!$C$88)*12*(1+Assumptions!$C$119/100)^(COLUMN()-2)</f>
        <v/>
      </c>
      <c r="H20" s="14">
        <f>(Assumptions!$C$86+Assumptions!$C$87+Assumptions!$C$88)*12*(1+Assumptions!$C$119/100)^(COLUMN()-2)</f>
        <v/>
      </c>
      <c r="I20" s="14">
        <f>(Assumptions!$C$86+Assumptions!$C$87+Assumptions!$C$88)*12*(1+Assumptions!$C$119/100)^(COLUMN()-2)</f>
        <v/>
      </c>
      <c r="J20" s="14">
        <f>(Assumptions!$C$86+Assumptions!$C$87+Assumptions!$C$88)*12*(1+Assumptions!$C$119/100)^(COLUMN()-2)</f>
        <v/>
      </c>
      <c r="K20" s="14">
        <f>(Assumptions!$C$86+Assumptions!$C$87+Assumptions!$C$88)*12*(1+Assumptions!$C$119/100)^(COLUMN()-2)</f>
        <v/>
      </c>
    </row>
    <row r="21">
      <c r="A21" t="inlineStr">
        <is>
          <t>Professional services</t>
        </is>
      </c>
      <c r="B21" s="14">
        <f>Assumptions!$C$90*(1+Assumptions!$C$119/100)^(COLUMN()-2)</f>
        <v/>
      </c>
      <c r="C21" s="14">
        <f>Assumptions!$C$90*(1+Assumptions!$C$119/100)^(COLUMN()-2)</f>
        <v/>
      </c>
      <c r="D21" s="14">
        <f>Assumptions!$C$90*(1+Assumptions!$C$119/100)^(COLUMN()-2)</f>
        <v/>
      </c>
      <c r="E21" s="14">
        <f>Assumptions!$C$90*(1+Assumptions!$C$119/100)^(COLUMN()-2)</f>
        <v/>
      </c>
      <c r="F21" s="14">
        <f>Assumptions!$C$90*(1+Assumptions!$C$119/100)^(COLUMN()-2)</f>
        <v/>
      </c>
      <c r="G21" s="14">
        <f>Assumptions!$C$90*(1+Assumptions!$C$119/100)^(COLUMN()-2)</f>
        <v/>
      </c>
      <c r="H21" s="14">
        <f>Assumptions!$C$90*(1+Assumptions!$C$119/100)^(COLUMN()-2)</f>
        <v/>
      </c>
      <c r="I21" s="14">
        <f>Assumptions!$C$90*(1+Assumptions!$C$119/100)^(COLUMN()-2)</f>
        <v/>
      </c>
      <c r="J21" s="14">
        <f>Assumptions!$C$90*(1+Assumptions!$C$119/100)^(COLUMN()-2)</f>
        <v/>
      </c>
      <c r="K21" s="14">
        <f>Assumptions!$C$90*(1+Assumptions!$C$119/100)^(COLUMN()-2)</f>
        <v/>
      </c>
    </row>
    <row r="22">
      <c r="A22" s="16" t="inlineStr">
        <is>
          <t>Total overhead</t>
        </is>
      </c>
      <c r="B22" s="14">
        <f>SUM(B20:B21)</f>
        <v/>
      </c>
      <c r="C22" s="14">
        <f>SUM(B20:B21)</f>
        <v/>
      </c>
      <c r="D22" s="14">
        <f>SUM(B20:B21)</f>
        <v/>
      </c>
      <c r="E22" s="14">
        <f>SUM(B20:B21)</f>
        <v/>
      </c>
      <c r="F22" s="14">
        <f>SUM(B20:B21)</f>
        <v/>
      </c>
      <c r="G22" s="14">
        <f>SUM(B20:B21)</f>
        <v/>
      </c>
      <c r="H22" s="14">
        <f>SUM(B20:B21)</f>
        <v/>
      </c>
      <c r="I22" s="14">
        <f>SUM(B20:B21)</f>
        <v/>
      </c>
      <c r="J22" s="14">
        <f>SUM(B20:B21)</f>
        <v/>
      </c>
      <c r="K22" s="14">
        <f>SUM(B20:B21)</f>
        <v/>
      </c>
    </row>
    <row r="23"/>
    <row r="24">
      <c r="A24" t="inlineStr">
        <is>
          <t>LOGISTICS</t>
        </is>
      </c>
    </row>
    <row r="25">
      <c r="A25" t="inlineStr">
        <is>
          <t>Transport</t>
        </is>
      </c>
      <c r="B25" s="14">
        <f>Revenue!B11*Assumptions!$C$93*Assumptions!$C$94*(1+Assumptions!$C$119/100)^(COLUMN()-2)</f>
        <v/>
      </c>
      <c r="C25" s="14">
        <f>Revenue!B11*Assumptions!$C$93*Assumptions!$C$94*(1+Assumptions!$C$119/100)^(COLUMN()-2)</f>
        <v/>
      </c>
      <c r="D25" s="14">
        <f>Revenue!B11*Assumptions!$C$93*Assumptions!$C$94*(1+Assumptions!$C$119/100)^(COLUMN()-2)</f>
        <v/>
      </c>
      <c r="E25" s="14">
        <f>Revenue!B11*Assumptions!$C$93*Assumptions!$C$94*(1+Assumptions!$C$119/100)^(COLUMN()-2)</f>
        <v/>
      </c>
      <c r="F25" s="14">
        <f>Revenue!B11*Assumptions!$C$93*Assumptions!$C$94*(1+Assumptions!$C$119/100)^(COLUMN()-2)</f>
        <v/>
      </c>
      <c r="G25" s="14">
        <f>Revenue!B11*Assumptions!$C$93*Assumptions!$C$94*(1+Assumptions!$C$119/100)^(COLUMN()-2)</f>
        <v/>
      </c>
      <c r="H25" s="14">
        <f>Revenue!B11*Assumptions!$C$93*Assumptions!$C$94*(1+Assumptions!$C$119/100)^(COLUMN()-2)</f>
        <v/>
      </c>
      <c r="I25" s="14">
        <f>Revenue!B11*Assumptions!$C$93*Assumptions!$C$94*(1+Assumptions!$C$119/100)^(COLUMN()-2)</f>
        <v/>
      </c>
      <c r="J25" s="14">
        <f>Revenue!B11*Assumptions!$C$93*Assumptions!$C$94*(1+Assumptions!$C$119/100)^(COLUMN()-2)</f>
        <v/>
      </c>
      <c r="K25" s="14">
        <f>Revenue!B11*Assumptions!$C$93*Assumptions!$C$94*(1+Assumptions!$C$119/100)^(COLUMN()-2)</f>
        <v/>
      </c>
    </row>
    <row r="26">
      <c r="A26" t="inlineStr">
        <is>
          <t>Cold storage</t>
        </is>
      </c>
      <c r="B26" s="14">
        <f>Revenue!B11*Assumptions!$C$95*(1+Assumptions!$C$119/100)^(COLUMN()-2)</f>
        <v/>
      </c>
      <c r="C26" s="14">
        <f>Revenue!B11*Assumptions!$C$95*(1+Assumptions!$C$119/100)^(COLUMN()-2)</f>
        <v/>
      </c>
      <c r="D26" s="14">
        <f>Revenue!B11*Assumptions!$C$95*(1+Assumptions!$C$119/100)^(COLUMN()-2)</f>
        <v/>
      </c>
      <c r="E26" s="14">
        <f>Revenue!B11*Assumptions!$C$95*(1+Assumptions!$C$119/100)^(COLUMN()-2)</f>
        <v/>
      </c>
      <c r="F26" s="14">
        <f>Revenue!B11*Assumptions!$C$95*(1+Assumptions!$C$119/100)^(COLUMN()-2)</f>
        <v/>
      </c>
      <c r="G26" s="14">
        <f>Revenue!B11*Assumptions!$C$95*(1+Assumptions!$C$119/100)^(COLUMN()-2)</f>
        <v/>
      </c>
      <c r="H26" s="14">
        <f>Revenue!B11*Assumptions!$C$95*(1+Assumptions!$C$119/100)^(COLUMN()-2)</f>
        <v/>
      </c>
      <c r="I26" s="14">
        <f>Revenue!B11*Assumptions!$C$95*(1+Assumptions!$C$119/100)^(COLUMN()-2)</f>
        <v/>
      </c>
      <c r="J26" s="14">
        <f>Revenue!B11*Assumptions!$C$95*(1+Assumptions!$C$119/100)^(COLUMN()-2)</f>
        <v/>
      </c>
      <c r="K26" s="14">
        <f>Revenue!B11*Assumptions!$C$95*(1+Assumptions!$C$119/100)^(COLUMN()-2)</f>
        <v/>
      </c>
    </row>
    <row r="27">
      <c r="A27" s="16" t="inlineStr">
        <is>
          <t>Total logistics</t>
        </is>
      </c>
      <c r="B27" s="14">
        <f>SUM(B25:B26)</f>
        <v/>
      </c>
      <c r="C27" s="14">
        <f>SUM(B25:B26)</f>
        <v/>
      </c>
      <c r="D27" s="14">
        <f>SUM(B25:B26)</f>
        <v/>
      </c>
      <c r="E27" s="14">
        <f>SUM(B25:B26)</f>
        <v/>
      </c>
      <c r="F27" s="14">
        <f>SUM(B25:B26)</f>
        <v/>
      </c>
      <c r="G27" s="14">
        <f>SUM(B25:B26)</f>
        <v/>
      </c>
      <c r="H27" s="14">
        <f>SUM(B25:B26)</f>
        <v/>
      </c>
      <c r="I27" s="14">
        <f>SUM(B25:B26)</f>
        <v/>
      </c>
      <c r="J27" s="14">
        <f>SUM(B25:B26)</f>
        <v/>
      </c>
      <c r="K27" s="14">
        <f>SUM(B25:B26)</f>
        <v/>
      </c>
    </row>
    <row r="28"/>
    <row r="29">
      <c r="A29" s="16" t="inlineStr">
        <is>
          <t>TOTAL OPERATING COSTS</t>
        </is>
      </c>
      <c r="B29" s="14">
        <f>B7+B12+B17+B22+B27</f>
        <v/>
      </c>
      <c r="C29" s="14">
        <f>B7+B12+B17+B22+B27</f>
        <v/>
      </c>
      <c r="D29" s="14">
        <f>B7+B12+B17+B22+B27</f>
        <v/>
      </c>
      <c r="E29" s="14">
        <f>B7+B12+B17+B22+B27</f>
        <v/>
      </c>
      <c r="F29" s="14">
        <f>B7+B12+B17+B22+B27</f>
        <v/>
      </c>
      <c r="G29" s="14">
        <f>B7+B12+B17+B22+B27</f>
        <v/>
      </c>
      <c r="H29" s="14">
        <f>B7+B12+B17+B22+B27</f>
        <v/>
      </c>
      <c r="I29" s="14">
        <f>B7+B12+B17+B22+B27</f>
        <v/>
      </c>
      <c r="J29" s="14">
        <f>B7+B12+B17+B22+B27</f>
        <v/>
      </c>
      <c r="K29" s="14">
        <f>B7+B12+B17+B22+B27</f>
        <v/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CAPITAL EXPENDITURE SCHEDULE</t>
        </is>
      </c>
    </row>
    <row r="3">
      <c r="A3" t="inlineStr">
        <is>
          <t>Phase / Asset</t>
        </is>
      </c>
      <c r="B3" t="inlineStr">
        <is>
          <t>Total Budget</t>
        </is>
      </c>
      <c r="C3" s="16" t="inlineStr">
        <is>
          <t>Year 1</t>
        </is>
      </c>
      <c r="D3" s="16" t="inlineStr">
        <is>
          <t>Year 2</t>
        </is>
      </c>
      <c r="E3" s="16" t="inlineStr">
        <is>
          <t>Year 3</t>
        </is>
      </c>
      <c r="F3" s="16" t="inlineStr">
        <is>
          <t>Year 4</t>
        </is>
      </c>
      <c r="G3" s="16" t="inlineStr">
        <is>
          <t>Year 5</t>
        </is>
      </c>
      <c r="H3" s="16" t="inlineStr">
        <is>
          <t>Year 6</t>
        </is>
      </c>
      <c r="I3" s="16" t="inlineStr">
        <is>
          <t>Year 7</t>
        </is>
      </c>
      <c r="J3" s="16" t="inlineStr">
        <is>
          <t>Year 8</t>
        </is>
      </c>
      <c r="K3" s="16" t="inlineStr">
        <is>
          <t>Year 9</t>
        </is>
      </c>
      <c r="L3" s="16" t="inlineStr">
        <is>
          <t>Year 10</t>
        </is>
      </c>
    </row>
    <row r="4">
      <c r="A4" s="13" t="inlineStr">
        <is>
          <t>PHASE 1: Seed Multiplication</t>
        </is>
      </c>
      <c r="B4" s="14">
        <f>Calculations!$B$5</f>
        <v/>
      </c>
      <c r="C4" s="14">
        <f>$B4*0.6</f>
        <v/>
      </c>
      <c r="D4" s="14">
        <f>$B4*0.4</f>
        <v/>
      </c>
      <c r="E4" s="14" t="n">
        <v>0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  <c r="L4" s="14" t="n">
        <v>0</v>
      </c>
    </row>
    <row r="5">
      <c r="A5" s="13" t="inlineStr">
        <is>
          <t>PHASE 2: Outgrower Network</t>
        </is>
      </c>
      <c r="B5" s="14">
        <f>Calculations!$B$6</f>
        <v/>
      </c>
      <c r="C5" s="14" t="n">
        <v>0</v>
      </c>
      <c r="D5" s="14">
        <f>$B5*0.5</f>
        <v/>
      </c>
      <c r="E5" s="14">
        <f>$B5*0.5</f>
        <v/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</row>
    <row r="6">
      <c r="A6" s="13" t="inlineStr">
        <is>
          <t>PHASE 3: Processing Facility</t>
        </is>
      </c>
      <c r="B6" s="14">
        <f>Calculations!$B$7</f>
        <v/>
      </c>
      <c r="C6" s="14" t="n">
        <v>0</v>
      </c>
      <c r="D6" s="14">
        <f>$B6*0.2</f>
        <v/>
      </c>
      <c r="E6" s="14">
        <f>$B6*0.5</f>
        <v/>
      </c>
      <c r="F6" s="14">
        <f>$B6*0.3</f>
        <v/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</row>
    <row r="7">
      <c r="A7" s="13" t="inlineStr">
        <is>
          <t>PHASE 4: Logistics</t>
        </is>
      </c>
      <c r="B7" s="14">
        <f>Calculations!$B$8</f>
        <v/>
      </c>
      <c r="C7" s="14" t="n">
        <v>0</v>
      </c>
      <c r="D7" s="14" t="n">
        <v>0</v>
      </c>
      <c r="E7" s="14" t="n">
        <v>0</v>
      </c>
      <c r="F7" s="14">
        <f>$B7*0.7</f>
        <v/>
      </c>
      <c r="G7" s="14">
        <f>$B7*0.3</f>
        <v/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</row>
    <row r="8">
      <c r="A8" s="13" t="inlineStr">
        <is>
          <t>PHASE 5: Circular Economy</t>
        </is>
      </c>
      <c r="B8" s="14">
        <f>Calculations!$B$9</f>
        <v/>
      </c>
      <c r="C8" s="14" t="n">
        <v>0</v>
      </c>
      <c r="D8" s="14" t="n">
        <v>0</v>
      </c>
      <c r="E8" s="14" t="n">
        <v>0</v>
      </c>
      <c r="F8" s="14" t="n">
        <v>0</v>
      </c>
      <c r="G8" s="14">
        <f>$B8*1.0</f>
        <v/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</row>
    <row r="9"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</row>
    <row r="10">
      <c r="A10" s="3" t="inlineStr">
        <is>
          <t>TOTAL ANNUAL CAPEX</t>
        </is>
      </c>
      <c r="B10" s="17">
        <f>Calculations!$B$10</f>
        <v/>
      </c>
    </row>
    <row r="11"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</row>
    <row r="12">
      <c r="A12" t="inlineStr">
        <is>
          <t>Cumulative CAPEX</t>
        </is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DEBT SCHEDULE &amp; AMORTIZATION</t>
        </is>
      </c>
    </row>
    <row r="3">
      <c r="A3" t="inlineStr">
        <is>
          <t>Item</t>
        </is>
      </c>
      <c r="B3" s="16" t="inlineStr">
        <is>
          <t>Year 1</t>
        </is>
      </c>
      <c r="C3" s="16" t="inlineStr">
        <is>
          <t>Year 2</t>
        </is>
      </c>
      <c r="D3" s="16" t="inlineStr">
        <is>
          <t>Year 3</t>
        </is>
      </c>
      <c r="E3" s="16" t="inlineStr">
        <is>
          <t>Year 4</t>
        </is>
      </c>
      <c r="F3" s="16" t="inlineStr">
        <is>
          <t>Year 5</t>
        </is>
      </c>
      <c r="G3" s="16" t="inlineStr">
        <is>
          <t>Year 6</t>
        </is>
      </c>
      <c r="H3" s="16" t="inlineStr">
        <is>
          <t>Year 7</t>
        </is>
      </c>
      <c r="I3" s="16" t="inlineStr">
        <is>
          <t>Year 8</t>
        </is>
      </c>
      <c r="J3" s="16" t="inlineStr">
        <is>
          <t>Year 9</t>
        </is>
      </c>
      <c r="K3" s="16" t="inlineStr">
        <is>
          <t>Year 10</t>
        </is>
      </c>
    </row>
    <row r="4">
      <c r="A4" s="13" t="inlineStr">
        <is>
          <t>SENIOR DEBT</t>
        </is>
      </c>
    </row>
    <row r="5">
      <c r="A5" t="inlineStr">
        <is>
          <t>Opening balance</t>
        </is>
      </c>
      <c r="B5" s="14">
        <f>IF(COLUMN()=2,0,OFFSET($B6,0,COLUMN()-3))</f>
        <v/>
      </c>
      <c r="C5" s="14">
        <f>IF(COLUMN()=2,0,OFFSET($B6,0,COLUMN()-3))</f>
        <v/>
      </c>
      <c r="D5" s="14">
        <f>IF(COLUMN()=2,0,OFFSET($B6,0,COLUMN()-3))</f>
        <v/>
      </c>
      <c r="E5" s="14">
        <f>IF(COLUMN()=2,0,OFFSET($B6,0,COLUMN()-3))</f>
        <v/>
      </c>
      <c r="F5" s="14">
        <f>IF(COLUMN()=2,0,OFFSET($B6,0,COLUMN()-3))</f>
        <v/>
      </c>
      <c r="G5" s="14">
        <f>IF(COLUMN()=2,0,OFFSET($B6,0,COLUMN()-3))</f>
        <v/>
      </c>
      <c r="H5" s="14">
        <f>IF(COLUMN()=2,0,OFFSET($B6,0,COLUMN()-3))</f>
        <v/>
      </c>
      <c r="I5" s="14">
        <f>IF(COLUMN()=2,0,OFFSET($B6,0,COLUMN()-3))</f>
        <v/>
      </c>
      <c r="J5" s="14">
        <f>IF(COLUMN()=2,0,OFFSET($B6,0,COLUMN()-3))</f>
        <v/>
      </c>
      <c r="K5" s="14">
        <f>IF(COLUMN()=2,0,OFFSET($B6,0,COLUMN()-3))</f>
        <v/>
      </c>
    </row>
    <row r="6">
      <c r="A6" t="inlineStr">
        <is>
          <t>Drawdowns</t>
        </is>
      </c>
      <c r="B6" s="14">
        <f>'CAPEX Schedule'!C11*Assumptions!$C$128/100</f>
        <v/>
      </c>
      <c r="C6" s="14">
        <f>'CAPEX Schedule'!C11*Assumptions!$C$128/100</f>
        <v/>
      </c>
      <c r="D6" s="14">
        <f>'CAPEX Schedule'!C11*Assumptions!$C$128/100</f>
        <v/>
      </c>
      <c r="E6" s="14">
        <f>'CAPEX Schedule'!C11*Assumptions!$C$128/100</f>
        <v/>
      </c>
      <c r="F6" s="14">
        <f>'CAPEX Schedule'!C11*Assumptions!$C$128/100</f>
        <v/>
      </c>
      <c r="G6" s="14">
        <f>'CAPEX Schedule'!C11*Assumptions!$C$128/100</f>
        <v/>
      </c>
      <c r="H6" s="14">
        <f>'CAPEX Schedule'!C11*Assumptions!$C$128/100</f>
        <v/>
      </c>
      <c r="I6" s="14">
        <f>'CAPEX Schedule'!C11*Assumptions!$C$128/100</f>
        <v/>
      </c>
      <c r="J6" s="14">
        <f>'CAPEX Schedule'!C11*Assumptions!$C$128/100</f>
        <v/>
      </c>
      <c r="K6" s="14">
        <f>'CAPEX Schedule'!C11*Assumptions!$C$128/100</f>
        <v/>
      </c>
    </row>
    <row r="7">
      <c r="A7" t="inlineStr">
        <is>
          <t>Principal repayment</t>
        </is>
      </c>
      <c r="B7" s="14">
        <f>IF(COLUMN()-2&lt;=Assumptions!$C$131,0,Calculations!$B$10*Assumptions!$C$128/100/(Assumptions!$C$130-Assumptions!$C$131))</f>
        <v/>
      </c>
      <c r="C7" s="14">
        <f>IF(COLUMN()-2&lt;=Assumptions!$C$131,0,Calculations!$B$10*Assumptions!$C$128/100/(Assumptions!$C$130-Assumptions!$C$131))</f>
        <v/>
      </c>
      <c r="D7" s="14">
        <f>IF(COLUMN()-2&lt;=Assumptions!$C$131,0,Calculations!$B$10*Assumptions!$C$128/100/(Assumptions!$C$130-Assumptions!$C$131))</f>
        <v/>
      </c>
      <c r="E7" s="14">
        <f>IF(COLUMN()-2&lt;=Assumptions!$C$131,0,Calculations!$B$10*Assumptions!$C$128/100/(Assumptions!$C$130-Assumptions!$C$131))</f>
        <v/>
      </c>
      <c r="F7" s="14">
        <f>IF(COLUMN()-2&lt;=Assumptions!$C$131,0,Calculations!$B$10*Assumptions!$C$128/100/(Assumptions!$C$130-Assumptions!$C$131))</f>
        <v/>
      </c>
      <c r="G7" s="14">
        <f>IF(COLUMN()-2&lt;=Assumptions!$C$131,0,Calculations!$B$10*Assumptions!$C$128/100/(Assumptions!$C$130-Assumptions!$C$131))</f>
        <v/>
      </c>
      <c r="H7" s="14">
        <f>IF(COLUMN()-2&lt;=Assumptions!$C$131,0,Calculations!$B$10*Assumptions!$C$128/100/(Assumptions!$C$130-Assumptions!$C$131))</f>
        <v/>
      </c>
      <c r="I7" s="14">
        <f>IF(COLUMN()-2&lt;=Assumptions!$C$131,0,Calculations!$B$10*Assumptions!$C$128/100/(Assumptions!$C$130-Assumptions!$C$131))</f>
        <v/>
      </c>
      <c r="J7" s="14">
        <f>IF(COLUMN()-2&lt;=Assumptions!$C$131,0,Calculations!$B$10*Assumptions!$C$128/100/(Assumptions!$C$130-Assumptions!$C$131))</f>
        <v/>
      </c>
      <c r="K7" s="14">
        <f>IF(COLUMN()-2&lt;=Assumptions!$C$131,0,Calculations!$B$10*Assumptions!$C$128/100/(Assumptions!$C$130-Assumptions!$C$131))</f>
        <v/>
      </c>
    </row>
    <row r="8">
      <c r="A8" t="inlineStr">
        <is>
          <t>Closing balance</t>
        </is>
      </c>
      <c r="B8" s="14">
        <f>B5+B6-B7</f>
        <v/>
      </c>
      <c r="C8" s="14">
        <f>B5+B6-B7</f>
        <v/>
      </c>
      <c r="D8" s="14">
        <f>B5+B6-B7</f>
        <v/>
      </c>
      <c r="E8" s="14">
        <f>B5+B6-B7</f>
        <v/>
      </c>
      <c r="F8" s="14">
        <f>B5+B6-B7</f>
        <v/>
      </c>
      <c r="G8" s="14">
        <f>B5+B6-B7</f>
        <v/>
      </c>
      <c r="H8" s="14">
        <f>B5+B6-B7</f>
        <v/>
      </c>
      <c r="I8" s="14">
        <f>B5+B6-B7</f>
        <v/>
      </c>
      <c r="J8" s="14">
        <f>B5+B6-B7</f>
        <v/>
      </c>
      <c r="K8" s="14">
        <f>B5+B6-B7</f>
        <v/>
      </c>
    </row>
    <row r="9">
      <c r="A9" t="inlineStr">
        <is>
          <t>Interest expense</t>
        </is>
      </c>
      <c r="B9" s="14">
        <f>(B5+B8)/2*Assumptions!$C$129/100</f>
        <v/>
      </c>
      <c r="C9" s="14">
        <f>(B5+B8)/2*Assumptions!$C$129/100</f>
        <v/>
      </c>
      <c r="D9" s="14">
        <f>(B5+B8)/2*Assumptions!$C$129/100</f>
        <v/>
      </c>
      <c r="E9" s="14">
        <f>(B5+B8)/2*Assumptions!$C$129/100</f>
        <v/>
      </c>
      <c r="F9" s="14">
        <f>(B5+B8)/2*Assumptions!$C$129/100</f>
        <v/>
      </c>
      <c r="G9" s="14">
        <f>(B5+B8)/2*Assumptions!$C$129/100</f>
        <v/>
      </c>
      <c r="H9" s="14">
        <f>(B5+B8)/2*Assumptions!$C$129/100</f>
        <v/>
      </c>
      <c r="I9" s="14">
        <f>(B5+B8)/2*Assumptions!$C$129/100</f>
        <v/>
      </c>
      <c r="J9" s="14">
        <f>(B5+B8)/2*Assumptions!$C$129/100</f>
        <v/>
      </c>
      <c r="K9" s="14">
        <f>(B5+B8)/2*Assumptions!$C$129/100</f>
        <v/>
      </c>
    </row>
    <row r="10">
      <c r="A10" t="inlineStr">
        <is>
          <t>Commitment fee</t>
        </is>
      </c>
      <c r="B10" s="14">
        <f>(Calculations!$B$10*Assumptions!$C$128/100-B8)*Assumptions!$C$133/100</f>
        <v/>
      </c>
      <c r="C10" s="14">
        <f>(Calculations!$B$10*Assumptions!$C$128/100-B8)*Assumptions!$C$133/100</f>
        <v/>
      </c>
      <c r="D10" s="14">
        <f>(Calculations!$B$10*Assumptions!$C$128/100-B8)*Assumptions!$C$133/100</f>
        <v/>
      </c>
      <c r="E10" s="14">
        <f>(Calculations!$B$10*Assumptions!$C$128/100-B8)*Assumptions!$C$133/100</f>
        <v/>
      </c>
      <c r="F10" s="14">
        <f>(Calculations!$B$10*Assumptions!$C$128/100-B8)*Assumptions!$C$133/100</f>
        <v/>
      </c>
      <c r="G10" s="14">
        <f>(Calculations!$B$10*Assumptions!$C$128/100-B8)*Assumptions!$C$133/100</f>
        <v/>
      </c>
      <c r="H10" s="14">
        <f>(Calculations!$B$10*Assumptions!$C$128/100-B8)*Assumptions!$C$133/100</f>
        <v/>
      </c>
      <c r="I10" s="14">
        <f>(Calculations!$B$10*Assumptions!$C$128/100-B8)*Assumptions!$C$133/100</f>
        <v/>
      </c>
      <c r="J10" s="14">
        <f>(Calculations!$B$10*Assumptions!$C$128/100-B8)*Assumptions!$C$133/100</f>
        <v/>
      </c>
      <c r="K10" s="14">
        <f>(Calculations!$B$10*Assumptions!$C$128/100-B8)*Assumptions!$C$133/100</f>
        <v/>
      </c>
    </row>
    <row r="11">
      <c r="A11" s="10" t="inlineStr">
        <is>
          <t>Total debt service</t>
        </is>
      </c>
      <c r="B11" s="14">
        <f>B7+B9+B10</f>
        <v/>
      </c>
      <c r="C11" s="14">
        <f>B7+B9+B10</f>
        <v/>
      </c>
      <c r="D11" s="14">
        <f>B7+B9+B10</f>
        <v/>
      </c>
      <c r="E11" s="14">
        <f>B7+B9+B10</f>
        <v/>
      </c>
      <c r="F11" s="14">
        <f>B7+B9+B10</f>
        <v/>
      </c>
      <c r="G11" s="14">
        <f>B7+B9+B10</f>
        <v/>
      </c>
      <c r="H11" s="14">
        <f>B7+B9+B10</f>
        <v/>
      </c>
      <c r="I11" s="14">
        <f>B7+B9+B10</f>
        <v/>
      </c>
      <c r="J11" s="14">
        <f>B7+B9+B10</f>
        <v/>
      </c>
      <c r="K11" s="14">
        <f>B7+B9+B10</f>
        <v/>
      </c>
    </row>
    <row r="13">
      <c r="A13" s="13" t="inlineStr">
        <is>
          <t>MEZZANINE DEBT</t>
        </is>
      </c>
    </row>
    <row r="14">
      <c r="A14" t="inlineStr">
        <is>
          <t>Opening balance</t>
        </is>
      </c>
      <c r="B14" s="14">
        <f>IF(COLUMN()=2,0,OFFSET($B14,0,COLUMN()-3))</f>
        <v/>
      </c>
      <c r="C14" s="14">
        <f>IF(COLUMN()=2,0,OFFSET($B14,0,COLUMN()-3))</f>
        <v/>
      </c>
      <c r="D14" s="14">
        <f>IF(COLUMN()=2,0,OFFSET($B14,0,COLUMN()-3))</f>
        <v/>
      </c>
      <c r="E14" s="14">
        <f>IF(COLUMN()=2,0,OFFSET($B14,0,COLUMN()-3))</f>
        <v/>
      </c>
      <c r="F14" s="14">
        <f>IF(COLUMN()=2,0,OFFSET($B14,0,COLUMN()-3))</f>
        <v/>
      </c>
      <c r="G14" s="14">
        <f>IF(COLUMN()=2,0,OFFSET($B14,0,COLUMN()-3))</f>
        <v/>
      </c>
      <c r="H14" s="14">
        <f>IF(COLUMN()=2,0,OFFSET($B14,0,COLUMN()-3))</f>
        <v/>
      </c>
      <c r="I14" s="14">
        <f>IF(COLUMN()=2,0,OFFSET($B14,0,COLUMN()-3))</f>
        <v/>
      </c>
      <c r="J14" s="14">
        <f>IF(COLUMN()=2,0,OFFSET($B14,0,COLUMN()-3))</f>
        <v/>
      </c>
      <c r="K14" s="14">
        <f>IF(COLUMN()=2,0,OFFSET($B14,0,COLUMN()-3))</f>
        <v/>
      </c>
    </row>
    <row r="15">
      <c r="A15" t="inlineStr">
        <is>
          <t>Drawdowns</t>
        </is>
      </c>
      <c r="B15" s="14">
        <f>'CAPEX Schedule'!C11*Assumptions!$C$136/100</f>
        <v/>
      </c>
      <c r="C15" s="14">
        <f>'CAPEX Schedule'!C11*Assumptions!$C$136/100</f>
        <v/>
      </c>
      <c r="D15" s="14">
        <f>'CAPEX Schedule'!C11*Assumptions!$C$136/100</f>
        <v/>
      </c>
      <c r="E15" s="14">
        <f>'CAPEX Schedule'!C11*Assumptions!$C$136/100</f>
        <v/>
      </c>
      <c r="F15" s="14">
        <f>'CAPEX Schedule'!C11*Assumptions!$C$136/100</f>
        <v/>
      </c>
      <c r="G15" s="14">
        <f>'CAPEX Schedule'!C11*Assumptions!$C$136/100</f>
        <v/>
      </c>
      <c r="H15" s="14">
        <f>'CAPEX Schedule'!C11*Assumptions!$C$136/100</f>
        <v/>
      </c>
      <c r="I15" s="14">
        <f>'CAPEX Schedule'!C11*Assumptions!$C$136/100</f>
        <v/>
      </c>
      <c r="J15" s="14">
        <f>'CAPEX Schedule'!C11*Assumptions!$C$136/100</f>
        <v/>
      </c>
      <c r="K15" s="14">
        <f>'CAPEX Schedule'!C11*Assumptions!$C$136/100</f>
        <v/>
      </c>
    </row>
    <row r="16">
      <c r="A16" t="inlineStr">
        <is>
          <t>Principal repayment</t>
        </is>
      </c>
      <c r="B16" s="14">
        <f>IF(COLUMN()-2&lt;=Assumptions!$C$139,0,Calculations!$B$10*Assumptions!$C$136/100/(Assumptions!$C$138-Assumptions!$C$139))</f>
        <v/>
      </c>
      <c r="C16" s="14">
        <f>IF(COLUMN()-2&lt;=Assumptions!$C$139,0,Calculations!$B$10*Assumptions!$C$136/100/(Assumptions!$C$138-Assumptions!$C$139))</f>
        <v/>
      </c>
      <c r="D16" s="14">
        <f>IF(COLUMN()-2&lt;=Assumptions!$C$139,0,Calculations!$B$10*Assumptions!$C$136/100/(Assumptions!$C$138-Assumptions!$C$139))</f>
        <v/>
      </c>
      <c r="E16" s="14">
        <f>IF(COLUMN()-2&lt;=Assumptions!$C$139,0,Calculations!$B$10*Assumptions!$C$136/100/(Assumptions!$C$138-Assumptions!$C$139))</f>
        <v/>
      </c>
      <c r="F16" s="14">
        <f>IF(COLUMN()-2&lt;=Assumptions!$C$139,0,Calculations!$B$10*Assumptions!$C$136/100/(Assumptions!$C$138-Assumptions!$C$139))</f>
        <v/>
      </c>
      <c r="G16" s="14">
        <f>IF(COLUMN()-2&lt;=Assumptions!$C$139,0,Calculations!$B$10*Assumptions!$C$136/100/(Assumptions!$C$138-Assumptions!$C$139))</f>
        <v/>
      </c>
      <c r="H16" s="14">
        <f>IF(COLUMN()-2&lt;=Assumptions!$C$139,0,Calculations!$B$10*Assumptions!$C$136/100/(Assumptions!$C$138-Assumptions!$C$139))</f>
        <v/>
      </c>
      <c r="I16" s="14">
        <f>IF(COLUMN()-2&lt;=Assumptions!$C$139,0,Calculations!$B$10*Assumptions!$C$136/100/(Assumptions!$C$138-Assumptions!$C$139))</f>
        <v/>
      </c>
      <c r="J16" s="14">
        <f>IF(COLUMN()-2&lt;=Assumptions!$C$139,0,Calculations!$B$10*Assumptions!$C$136/100/(Assumptions!$C$138-Assumptions!$C$139))</f>
        <v/>
      </c>
      <c r="K16" s="14">
        <f>IF(COLUMN()-2&lt;=Assumptions!$C$139,0,Calculations!$B$10*Assumptions!$C$136/100/(Assumptions!$C$138-Assumptions!$C$139))</f>
        <v/>
      </c>
    </row>
    <row r="17">
      <c r="A17" t="inlineStr">
        <is>
          <t>Closing balance</t>
        </is>
      </c>
      <c r="B17" s="14">
        <f>B13+B14-B15</f>
        <v/>
      </c>
      <c r="C17" s="14">
        <f>B13+B14-B15</f>
        <v/>
      </c>
      <c r="D17" s="14">
        <f>B13+B14-B15</f>
        <v/>
      </c>
      <c r="E17" s="14">
        <f>B13+B14-B15</f>
        <v/>
      </c>
      <c r="F17" s="14">
        <f>B13+B14-B15</f>
        <v/>
      </c>
      <c r="G17" s="14">
        <f>B13+B14-B15</f>
        <v/>
      </c>
      <c r="H17" s="14">
        <f>B13+B14-B15</f>
        <v/>
      </c>
      <c r="I17" s="14">
        <f>B13+B14-B15</f>
        <v/>
      </c>
      <c r="J17" s="14">
        <f>B13+B14-B15</f>
        <v/>
      </c>
      <c r="K17" s="14">
        <f>B13+B14-B15</f>
        <v/>
      </c>
    </row>
    <row r="18">
      <c r="A18" t="inlineStr">
        <is>
          <t>Interest expense</t>
        </is>
      </c>
      <c r="B18" s="14">
        <f>(B13+B16)/2*Assumptions!$C$137/100</f>
        <v/>
      </c>
      <c r="C18" s="14">
        <f>(B13+B16)/2*Assumptions!$C$137/100</f>
        <v/>
      </c>
      <c r="D18" s="14">
        <f>(B13+B16)/2*Assumptions!$C$137/100</f>
        <v/>
      </c>
      <c r="E18" s="14">
        <f>(B13+B16)/2*Assumptions!$C$137/100</f>
        <v/>
      </c>
      <c r="F18" s="14">
        <f>(B13+B16)/2*Assumptions!$C$137/100</f>
        <v/>
      </c>
      <c r="G18" s="14">
        <f>(B13+B16)/2*Assumptions!$C$137/100</f>
        <v/>
      </c>
      <c r="H18" s="14">
        <f>(B13+B16)/2*Assumptions!$C$137/100</f>
        <v/>
      </c>
      <c r="I18" s="14">
        <f>(B13+B16)/2*Assumptions!$C$137/100</f>
        <v/>
      </c>
      <c r="J18" s="14">
        <f>(B13+B16)/2*Assumptions!$C$137/100</f>
        <v/>
      </c>
      <c r="K18" s="14">
        <f>(B13+B16)/2*Assumptions!$C$137/100</f>
        <v/>
      </c>
    </row>
    <row r="19">
      <c r="A19" s="10" t="inlineStr">
        <is>
          <t>Total debt service</t>
        </is>
      </c>
      <c r="B19" s="14">
        <f>B15+B17</f>
        <v/>
      </c>
      <c r="C19" s="14">
        <f>B15+B17</f>
        <v/>
      </c>
      <c r="D19" s="14">
        <f>B15+B17</f>
        <v/>
      </c>
      <c r="E19" s="14">
        <f>B15+B17</f>
        <v/>
      </c>
      <c r="F19" s="14">
        <f>B15+B17</f>
        <v/>
      </c>
      <c r="G19" s="14">
        <f>B15+B17</f>
        <v/>
      </c>
      <c r="H19" s="14">
        <f>B15+B17</f>
        <v/>
      </c>
      <c r="I19" s="14">
        <f>B15+B17</f>
        <v/>
      </c>
      <c r="J19" s="14">
        <f>B15+B17</f>
        <v/>
      </c>
      <c r="K19" s="14">
        <f>B15+B17</f>
        <v/>
      </c>
    </row>
    <row r="21">
      <c r="A21" s="3" t="inlineStr">
        <is>
          <t>TOTAL DEBT</t>
        </is>
      </c>
    </row>
    <row r="22">
      <c r="A22" s="10" t="inlineStr">
        <is>
          <t>Total opening balance</t>
        </is>
      </c>
      <c r="B22" s="14">
        <f>B5+B13</f>
        <v/>
      </c>
      <c r="C22" s="14">
        <f>B5+B13</f>
        <v/>
      </c>
      <c r="D22" s="14">
        <f>B5+B13</f>
        <v/>
      </c>
      <c r="E22" s="14">
        <f>B5+B13</f>
        <v/>
      </c>
      <c r="F22" s="14">
        <f>B5+B13</f>
        <v/>
      </c>
      <c r="G22" s="14">
        <f>B5+B13</f>
        <v/>
      </c>
      <c r="H22" s="14">
        <f>B5+B13</f>
        <v/>
      </c>
      <c r="I22" s="14">
        <f>B5+B13</f>
        <v/>
      </c>
      <c r="J22" s="14">
        <f>B5+B13</f>
        <v/>
      </c>
      <c r="K22" s="14">
        <f>B5+B13</f>
        <v/>
      </c>
    </row>
    <row r="23">
      <c r="A23" s="10" t="inlineStr">
        <is>
          <t>Total drawdowns</t>
        </is>
      </c>
      <c r="B23" s="14">
        <f>B6+B14</f>
        <v/>
      </c>
      <c r="C23" s="14">
        <f>B6+B14</f>
        <v/>
      </c>
      <c r="D23" s="14">
        <f>B6+B14</f>
        <v/>
      </c>
      <c r="E23" s="14">
        <f>B6+B14</f>
        <v/>
      </c>
      <c r="F23" s="14">
        <f>B6+B14</f>
        <v/>
      </c>
      <c r="G23" s="14">
        <f>B6+B14</f>
        <v/>
      </c>
      <c r="H23" s="14">
        <f>B6+B14</f>
        <v/>
      </c>
      <c r="I23" s="14">
        <f>B6+B14</f>
        <v/>
      </c>
      <c r="J23" s="14">
        <f>B6+B14</f>
        <v/>
      </c>
      <c r="K23" s="14">
        <f>B6+B14</f>
        <v/>
      </c>
    </row>
    <row r="24">
      <c r="A24" s="10" t="inlineStr">
        <is>
          <t>Total principal repayment</t>
        </is>
      </c>
      <c r="B24" s="14">
        <f>B7+B15</f>
        <v/>
      </c>
      <c r="C24" s="14">
        <f>B7+B15</f>
        <v/>
      </c>
      <c r="D24" s="14">
        <f>B7+B15</f>
        <v/>
      </c>
      <c r="E24" s="14">
        <f>B7+B15</f>
        <v/>
      </c>
      <c r="F24" s="14">
        <f>B7+B15</f>
        <v/>
      </c>
      <c r="G24" s="14">
        <f>B7+B15</f>
        <v/>
      </c>
      <c r="H24" s="14">
        <f>B7+B15</f>
        <v/>
      </c>
      <c r="I24" s="14">
        <f>B7+B15</f>
        <v/>
      </c>
      <c r="J24" s="14">
        <f>B7+B15</f>
        <v/>
      </c>
      <c r="K24" s="14">
        <f>B7+B15</f>
        <v/>
      </c>
    </row>
    <row r="25">
      <c r="A25" s="10" t="inlineStr">
        <is>
          <t>Total closing balance</t>
        </is>
      </c>
      <c r="B25" s="14">
        <f>B8+B16</f>
        <v/>
      </c>
      <c r="C25" s="14">
        <f>B8+B16</f>
        <v/>
      </c>
      <c r="D25" s="14">
        <f>B8+B16</f>
        <v/>
      </c>
      <c r="E25" s="14">
        <f>B8+B16</f>
        <v/>
      </c>
      <c r="F25" s="14">
        <f>B8+B16</f>
        <v/>
      </c>
      <c r="G25" s="14">
        <f>B8+B16</f>
        <v/>
      </c>
      <c r="H25" s="14">
        <f>B8+B16</f>
        <v/>
      </c>
      <c r="I25" s="14">
        <f>B8+B16</f>
        <v/>
      </c>
      <c r="J25" s="14">
        <f>B8+B16</f>
        <v/>
      </c>
      <c r="K25" s="14">
        <f>B8+B16</f>
        <v/>
      </c>
    </row>
    <row r="26">
      <c r="A26" s="10" t="inlineStr">
        <is>
          <t>Total interest expense</t>
        </is>
      </c>
      <c r="B26" s="14">
        <f>B9+B17</f>
        <v/>
      </c>
      <c r="C26" s="14">
        <f>B9+B17</f>
        <v/>
      </c>
      <c r="D26" s="14">
        <f>B9+B17</f>
        <v/>
      </c>
      <c r="E26" s="14">
        <f>B9+B17</f>
        <v/>
      </c>
      <c r="F26" s="14">
        <f>B9+B17</f>
        <v/>
      </c>
      <c r="G26" s="14">
        <f>B9+B17</f>
        <v/>
      </c>
      <c r="H26" s="14">
        <f>B9+B17</f>
        <v/>
      </c>
      <c r="I26" s="14">
        <f>B9+B17</f>
        <v/>
      </c>
      <c r="J26" s="14">
        <f>B9+B17</f>
        <v/>
      </c>
      <c r="K26" s="14">
        <f>B9+B17</f>
        <v/>
      </c>
    </row>
    <row r="27">
      <c r="A27" s="10" t="inlineStr">
        <is>
          <t>Total debt service</t>
        </is>
      </c>
      <c r="B27" s="17">
        <f>B11+B18</f>
        <v/>
      </c>
      <c r="C27" s="17">
        <f>B11+B18</f>
        <v/>
      </c>
      <c r="D27" s="17">
        <f>B11+B18</f>
        <v/>
      </c>
      <c r="E27" s="17">
        <f>B11+B18</f>
        <v/>
      </c>
      <c r="F27" s="17">
        <f>B11+B18</f>
        <v/>
      </c>
      <c r="G27" s="17">
        <f>B11+B18</f>
        <v/>
      </c>
      <c r="H27" s="17">
        <f>B11+B18</f>
        <v/>
      </c>
      <c r="I27" s="17">
        <f>B11+B18</f>
        <v/>
      </c>
      <c r="J27" s="17">
        <f>B11+B18</f>
        <v/>
      </c>
      <c r="K27" s="17">
        <f>B11+B18</f>
        <v/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PROFIT &amp; LOSS STATEMENT</t>
        </is>
      </c>
    </row>
    <row r="3">
      <c r="A3" t="inlineStr">
        <is>
          <t>Line Item</t>
        </is>
      </c>
      <c r="B3" s="12" t="inlineStr">
        <is>
          <t>Year 1</t>
        </is>
      </c>
      <c r="C3" s="12" t="inlineStr">
        <is>
          <t>Year 2</t>
        </is>
      </c>
      <c r="D3" s="12" t="inlineStr">
        <is>
          <t>Year 3</t>
        </is>
      </c>
      <c r="E3" s="12" t="inlineStr">
        <is>
          <t>Year 4</t>
        </is>
      </c>
      <c r="F3" s="12" t="inlineStr">
        <is>
          <t>Year 5</t>
        </is>
      </c>
      <c r="G3" s="12" t="inlineStr">
        <is>
          <t>Year 6</t>
        </is>
      </c>
      <c r="H3" s="12" t="inlineStr">
        <is>
          <t>Year 7</t>
        </is>
      </c>
      <c r="I3" s="12" t="inlineStr">
        <is>
          <t>Year 8</t>
        </is>
      </c>
      <c r="J3" s="12" t="inlineStr">
        <is>
          <t>Year 9</t>
        </is>
      </c>
      <c r="K3" s="12" t="inlineStr">
        <is>
          <t>Year 10</t>
        </is>
      </c>
    </row>
    <row r="4">
      <c r="A4" s="3" t="inlineStr">
        <is>
          <t>REVENUE</t>
        </is>
      </c>
    </row>
    <row r="5">
      <c r="A5" t="inlineStr">
        <is>
          <t>Total Revenue</t>
        </is>
      </c>
      <c r="B5" s="14">
        <f>Revenue!B15</f>
        <v/>
      </c>
      <c r="C5" s="14">
        <f>Revenue!B15</f>
        <v/>
      </c>
      <c r="D5" s="14">
        <f>Revenue!B15</f>
        <v/>
      </c>
      <c r="E5" s="14">
        <f>Revenue!B15</f>
        <v/>
      </c>
      <c r="F5" s="14">
        <f>Revenue!B15</f>
        <v/>
      </c>
      <c r="G5" s="14">
        <f>Revenue!B15</f>
        <v/>
      </c>
      <c r="H5" s="14">
        <f>Revenue!B15</f>
        <v/>
      </c>
      <c r="I5" s="14">
        <f>Revenue!B15</f>
        <v/>
      </c>
      <c r="J5" s="14">
        <f>Revenue!B15</f>
        <v/>
      </c>
      <c r="K5" s="14">
        <f>Revenue!B15</f>
        <v/>
      </c>
    </row>
    <row r="6">
      <c r="A6" t="inlineStr"/>
    </row>
    <row r="7">
      <c r="A7" s="15" t="inlineStr">
        <is>
          <t>OPERATING COSTS</t>
        </is>
      </c>
    </row>
    <row r="8">
      <c r="A8" t="inlineStr">
        <is>
          <t>Operating Costs</t>
        </is>
      </c>
      <c r="B8" s="14">
        <f>-'Operating Costs'!B29</f>
        <v/>
      </c>
      <c r="C8" s="14">
        <f>-'Operating Costs'!B29</f>
        <v/>
      </c>
      <c r="D8" s="14">
        <f>-'Operating Costs'!B29</f>
        <v/>
      </c>
      <c r="E8" s="14">
        <f>-'Operating Costs'!B29</f>
        <v/>
      </c>
      <c r="F8" s="14">
        <f>-'Operating Costs'!B29</f>
        <v/>
      </c>
      <c r="G8" s="14">
        <f>-'Operating Costs'!B29</f>
        <v/>
      </c>
      <c r="H8" s="14">
        <f>-'Operating Costs'!B29</f>
        <v/>
      </c>
      <c r="I8" s="14">
        <f>-'Operating Costs'!B29</f>
        <v/>
      </c>
      <c r="J8" s="14">
        <f>-'Operating Costs'!B29</f>
        <v/>
      </c>
      <c r="K8" s="14">
        <f>-'Operating Costs'!B29</f>
        <v/>
      </c>
    </row>
    <row r="9">
      <c r="A9" t="inlineStr"/>
    </row>
    <row r="10">
      <c r="A10" s="3" t="inlineStr">
        <is>
          <t>EBITDA</t>
        </is>
      </c>
      <c r="B10" s="17">
        <f>B5+B8</f>
        <v/>
      </c>
      <c r="C10" s="17">
        <f>B5+B8</f>
        <v/>
      </c>
      <c r="D10" s="17">
        <f>B5+B8</f>
        <v/>
      </c>
      <c r="E10" s="17">
        <f>B5+B8</f>
        <v/>
      </c>
      <c r="F10" s="17">
        <f>B5+B8</f>
        <v/>
      </c>
      <c r="G10" s="17">
        <f>B5+B8</f>
        <v/>
      </c>
      <c r="H10" s="17">
        <f>B5+B8</f>
        <v/>
      </c>
      <c r="I10" s="17">
        <f>B5+B8</f>
        <v/>
      </c>
      <c r="J10" s="17">
        <f>B5+B8</f>
        <v/>
      </c>
      <c r="K10" s="17">
        <f>B5+B8</f>
        <v/>
      </c>
    </row>
    <row r="11">
      <c r="A11" s="10" t="inlineStr">
        <is>
          <t>EBITDA Margin (%)</t>
        </is>
      </c>
      <c r="B11" s="20">
        <f>B10/B5*100</f>
        <v/>
      </c>
      <c r="C11" s="20">
        <f>B10/B5*100</f>
        <v/>
      </c>
      <c r="D11" s="20">
        <f>B10/B5*100</f>
        <v/>
      </c>
      <c r="E11" s="20">
        <f>B10/B5*100</f>
        <v/>
      </c>
      <c r="F11" s="20">
        <f>B10/B5*100</f>
        <v/>
      </c>
      <c r="G11" s="20">
        <f>B10/B5*100</f>
        <v/>
      </c>
      <c r="H11" s="20">
        <f>B10/B5*100</f>
        <v/>
      </c>
      <c r="I11" s="20">
        <f>B10/B5*100</f>
        <v/>
      </c>
      <c r="J11" s="20">
        <f>B10/B5*100</f>
        <v/>
      </c>
      <c r="K11" s="20">
        <f>B10/B5*100</f>
        <v/>
      </c>
    </row>
    <row r="12">
      <c r="A12" t="inlineStr"/>
    </row>
    <row r="13">
      <c r="A13" t="inlineStr">
        <is>
          <t>Depreciation</t>
        </is>
      </c>
      <c r="B13" s="14">
        <f>'CAPEX Schedule'!B11*0.1</f>
        <v/>
      </c>
      <c r="C13" s="14">
        <f>'CAPEX Schedule'!B11*0.1</f>
        <v/>
      </c>
      <c r="D13" s="14">
        <f>'CAPEX Schedule'!B11*0.1</f>
        <v/>
      </c>
      <c r="E13" s="14">
        <f>'CAPEX Schedule'!B11*0.1</f>
        <v/>
      </c>
      <c r="F13" s="14">
        <f>'CAPEX Schedule'!B11*0.1</f>
        <v/>
      </c>
      <c r="G13" s="14">
        <f>'CAPEX Schedule'!B11*0.1</f>
        <v/>
      </c>
      <c r="H13" s="14">
        <f>'CAPEX Schedule'!B11*0.1</f>
        <v/>
      </c>
      <c r="I13" s="14">
        <f>'CAPEX Schedule'!B11*0.1</f>
        <v/>
      </c>
      <c r="J13" s="14">
        <f>'CAPEX Schedule'!B11*0.1</f>
        <v/>
      </c>
      <c r="K13" s="14">
        <f>'CAPEX Schedule'!B11*0.1</f>
        <v/>
      </c>
    </row>
    <row r="14">
      <c r="A14" t="inlineStr"/>
    </row>
    <row r="15">
      <c r="A15" s="3" t="inlineStr">
        <is>
          <t>EBIT</t>
        </is>
      </c>
      <c r="B15" s="17">
        <f>B10-B13</f>
        <v/>
      </c>
      <c r="C15" s="17">
        <f>B10-B13</f>
        <v/>
      </c>
      <c r="D15" s="17">
        <f>B10-B13</f>
        <v/>
      </c>
      <c r="E15" s="17">
        <f>B10-B13</f>
        <v/>
      </c>
      <c r="F15" s="17">
        <f>B10-B13</f>
        <v/>
      </c>
      <c r="G15" s="17">
        <f>B10-B13</f>
        <v/>
      </c>
      <c r="H15" s="17">
        <f>B10-B13</f>
        <v/>
      </c>
      <c r="I15" s="17">
        <f>B10-B13</f>
        <v/>
      </c>
      <c r="J15" s="17">
        <f>B10-B13</f>
        <v/>
      </c>
      <c r="K15" s="17">
        <f>B10-B13</f>
        <v/>
      </c>
    </row>
    <row r="16">
      <c r="A16" s="10" t="inlineStr">
        <is>
          <t>EBIT Margin (%)</t>
        </is>
      </c>
      <c r="B16" s="20">
        <f>B15/B5*100</f>
        <v/>
      </c>
      <c r="C16" s="20">
        <f>B15/B5*100</f>
        <v/>
      </c>
      <c r="D16" s="20">
        <f>B15/B5*100</f>
        <v/>
      </c>
      <c r="E16" s="20">
        <f>B15/B5*100</f>
        <v/>
      </c>
      <c r="F16" s="20">
        <f>B15/B5*100</f>
        <v/>
      </c>
      <c r="G16" s="20">
        <f>B15/B5*100</f>
        <v/>
      </c>
      <c r="H16" s="20">
        <f>B15/B5*100</f>
        <v/>
      </c>
      <c r="I16" s="20">
        <f>B15/B5*100</f>
        <v/>
      </c>
      <c r="J16" s="20">
        <f>B15/B5*100</f>
        <v/>
      </c>
      <c r="K16" s="20">
        <f>B15/B5*100</f>
        <v/>
      </c>
    </row>
    <row r="17">
      <c r="A17" t="inlineStr"/>
    </row>
    <row r="18">
      <c r="A18" t="inlineStr">
        <is>
          <t>Interest Expense</t>
        </is>
      </c>
      <c r="B18" s="14">
        <f>-'Debt Schedule'!B28</f>
        <v/>
      </c>
      <c r="C18" s="14">
        <f>-'Debt Schedule'!B28</f>
        <v/>
      </c>
      <c r="D18" s="14">
        <f>-'Debt Schedule'!B28</f>
        <v/>
      </c>
      <c r="E18" s="14">
        <f>-'Debt Schedule'!B28</f>
        <v/>
      </c>
      <c r="F18" s="14">
        <f>-'Debt Schedule'!B28</f>
        <v/>
      </c>
      <c r="G18" s="14">
        <f>-'Debt Schedule'!B28</f>
        <v/>
      </c>
      <c r="H18" s="14">
        <f>-'Debt Schedule'!B28</f>
        <v/>
      </c>
      <c r="I18" s="14">
        <f>-'Debt Schedule'!B28</f>
        <v/>
      </c>
      <c r="J18" s="14">
        <f>-'Debt Schedule'!B28</f>
        <v/>
      </c>
      <c r="K18" s="14">
        <f>-'Debt Schedule'!B28</f>
        <v/>
      </c>
    </row>
    <row r="19">
      <c r="A19" t="inlineStr"/>
    </row>
    <row r="20">
      <c r="A20" t="inlineStr">
        <is>
          <t>EBT (Earnings Before Tax)</t>
        </is>
      </c>
      <c r="B20" s="14">
        <f>B15+B18</f>
        <v/>
      </c>
      <c r="C20" s="14">
        <f>B15+B18</f>
        <v/>
      </c>
      <c r="D20" s="14">
        <f>B15+B18</f>
        <v/>
      </c>
      <c r="E20" s="14">
        <f>B15+B18</f>
        <v/>
      </c>
      <c r="F20" s="14">
        <f>B15+B18</f>
        <v/>
      </c>
      <c r="G20" s="14">
        <f>B15+B18</f>
        <v/>
      </c>
      <c r="H20" s="14">
        <f>B15+B18</f>
        <v/>
      </c>
      <c r="I20" s="14">
        <f>B15+B18</f>
        <v/>
      </c>
      <c r="J20" s="14">
        <f>B15+B18</f>
        <v/>
      </c>
      <c r="K20" s="14">
        <f>B15+B18</f>
        <v/>
      </c>
    </row>
    <row r="21">
      <c r="A21" t="inlineStr"/>
    </row>
    <row r="22">
      <c r="A22" t="inlineStr">
        <is>
          <t>Tax Expense</t>
        </is>
      </c>
      <c r="B22" s="14">
        <f>IF(B20&gt;0,IF(COLUMN()-2&lt;=Assumptions!$C$146,-B20*Assumptions!$C$148/100,-B20*Assumptions!$C$145/100),0)</f>
        <v/>
      </c>
      <c r="C22" s="14">
        <f>IF(B20&gt;0,IF(COLUMN()-2&lt;=Assumptions!$C$146,-B20*Assumptions!$C$148/100,-B20*Assumptions!$C$145/100),0)</f>
        <v/>
      </c>
      <c r="D22" s="14">
        <f>IF(B20&gt;0,IF(COLUMN()-2&lt;=Assumptions!$C$146,-B20*Assumptions!$C$148/100,-B20*Assumptions!$C$145/100),0)</f>
        <v/>
      </c>
      <c r="E22" s="14">
        <f>IF(B20&gt;0,IF(COLUMN()-2&lt;=Assumptions!$C$146,-B20*Assumptions!$C$148/100,-B20*Assumptions!$C$145/100),0)</f>
        <v/>
      </c>
      <c r="F22" s="14">
        <f>IF(B20&gt;0,IF(COLUMN()-2&lt;=Assumptions!$C$146,-B20*Assumptions!$C$148/100,-B20*Assumptions!$C$145/100),0)</f>
        <v/>
      </c>
      <c r="G22" s="14">
        <f>IF(B20&gt;0,IF(COLUMN()-2&lt;=Assumptions!$C$146,-B20*Assumptions!$C$148/100,-B20*Assumptions!$C$145/100),0)</f>
        <v/>
      </c>
      <c r="H22" s="14">
        <f>IF(B20&gt;0,IF(COLUMN()-2&lt;=Assumptions!$C$146,-B20*Assumptions!$C$148/100,-B20*Assumptions!$C$145/100),0)</f>
        <v/>
      </c>
      <c r="I22" s="14">
        <f>IF(B20&gt;0,IF(COLUMN()-2&lt;=Assumptions!$C$146,-B20*Assumptions!$C$148/100,-B20*Assumptions!$C$145/100),0)</f>
        <v/>
      </c>
      <c r="J22" s="14">
        <f>IF(B20&gt;0,IF(COLUMN()-2&lt;=Assumptions!$C$146,-B20*Assumptions!$C$148/100,-B20*Assumptions!$C$145/100),0)</f>
        <v/>
      </c>
      <c r="K22" s="14">
        <f>IF(B20&gt;0,IF(COLUMN()-2&lt;=Assumptions!$C$146,-B20*Assumptions!$C$148/100,-B20*Assumptions!$C$145/100),0)</f>
        <v/>
      </c>
    </row>
    <row r="23">
      <c r="A23" t="inlineStr"/>
    </row>
    <row r="24">
      <c r="A24" s="3" t="inlineStr">
        <is>
          <t>NET INCOME</t>
        </is>
      </c>
      <c r="B24" s="17">
        <f>B20+B23</f>
        <v/>
      </c>
      <c r="C24" s="17">
        <f>B20+B23</f>
        <v/>
      </c>
      <c r="D24" s="17">
        <f>B20+B23</f>
        <v/>
      </c>
      <c r="E24" s="17">
        <f>B20+B23</f>
        <v/>
      </c>
      <c r="F24" s="17">
        <f>B20+B23</f>
        <v/>
      </c>
      <c r="G24" s="17">
        <f>B20+B23</f>
        <v/>
      </c>
      <c r="H24" s="17">
        <f>B20+B23</f>
        <v/>
      </c>
      <c r="I24" s="17">
        <f>B20+B23</f>
        <v/>
      </c>
      <c r="J24" s="17">
        <f>B20+B23</f>
        <v/>
      </c>
      <c r="K24" s="17">
        <f>B20+B23</f>
        <v/>
      </c>
    </row>
    <row r="25">
      <c r="A25" s="10" t="inlineStr">
        <is>
          <t>Net Margin (%)</t>
        </is>
      </c>
      <c r="B25" s="20">
        <f>B25/B5*100</f>
        <v/>
      </c>
      <c r="C25" s="20">
        <f>B25/B5*100</f>
        <v/>
      </c>
      <c r="D25" s="20">
        <f>B25/B5*100</f>
        <v/>
      </c>
      <c r="E25" s="20">
        <f>B25/B5*100</f>
        <v/>
      </c>
      <c r="F25" s="20">
        <f>B25/B5*100</f>
        <v/>
      </c>
      <c r="G25" s="20">
        <f>B25/B5*100</f>
        <v/>
      </c>
      <c r="H25" s="20">
        <f>B25/B5*100</f>
        <v/>
      </c>
      <c r="I25" s="20">
        <f>B25/B5*100</f>
        <v/>
      </c>
      <c r="J25" s="20">
        <f>B25/B5*100</f>
        <v/>
      </c>
      <c r="K25" s="20">
        <f>B25/B5*100</f>
        <v/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CASH FLOW STATEMENT</t>
        </is>
      </c>
    </row>
    <row r="3">
      <c r="A3" t="inlineStr">
        <is>
          <t>Cash Flow Item</t>
        </is>
      </c>
      <c r="B3" s="16" t="inlineStr">
        <is>
          <t>Year 1</t>
        </is>
      </c>
      <c r="C3" s="16" t="inlineStr">
        <is>
          <t>Year 2</t>
        </is>
      </c>
      <c r="D3" s="16" t="inlineStr">
        <is>
          <t>Year 3</t>
        </is>
      </c>
      <c r="E3" s="16" t="inlineStr">
        <is>
          <t>Year 4</t>
        </is>
      </c>
      <c r="F3" s="16" t="inlineStr">
        <is>
          <t>Year 5</t>
        </is>
      </c>
      <c r="G3" s="16" t="inlineStr">
        <is>
          <t>Year 6</t>
        </is>
      </c>
      <c r="H3" s="16" t="inlineStr">
        <is>
          <t>Year 7</t>
        </is>
      </c>
      <c r="I3" s="16" t="inlineStr">
        <is>
          <t>Year 8</t>
        </is>
      </c>
      <c r="J3" s="16" t="inlineStr">
        <is>
          <t>Year 9</t>
        </is>
      </c>
      <c r="K3" s="16" t="inlineStr">
        <is>
          <t>Year 10</t>
        </is>
      </c>
    </row>
    <row r="4">
      <c r="A4" s="3" t="inlineStr">
        <is>
          <t>OPERATING ACTIVITIES</t>
        </is>
      </c>
    </row>
    <row r="5">
      <c r="A5" t="inlineStr">
        <is>
          <t>EBITDA</t>
        </is>
      </c>
      <c r="B5" s="14">
        <f>'P&amp;L Statement'!B10</f>
        <v/>
      </c>
      <c r="C5" s="14">
        <f>'P&amp;L Statement'!B10</f>
        <v/>
      </c>
      <c r="D5" s="14">
        <f>'P&amp;L Statement'!B10</f>
        <v/>
      </c>
      <c r="E5" s="14">
        <f>'P&amp;L Statement'!B10</f>
        <v/>
      </c>
      <c r="F5" s="14">
        <f>'P&amp;L Statement'!B10</f>
        <v/>
      </c>
      <c r="G5" s="14">
        <f>'P&amp;L Statement'!B10</f>
        <v/>
      </c>
      <c r="H5" s="14">
        <f>'P&amp;L Statement'!B10</f>
        <v/>
      </c>
      <c r="I5" s="14">
        <f>'P&amp;L Statement'!B10</f>
        <v/>
      </c>
      <c r="J5" s="14">
        <f>'P&amp;L Statement'!B10</f>
        <v/>
      </c>
      <c r="K5" s="14">
        <f>'P&amp;L Statement'!B10</f>
        <v/>
      </c>
    </row>
    <row r="6">
      <c r="A6" t="inlineStr">
        <is>
          <t>Tax Paid</t>
        </is>
      </c>
      <c r="B6" s="14">
        <f>'P&amp;L Statement'!B23</f>
        <v/>
      </c>
      <c r="C6" s="14">
        <f>'P&amp;L Statement'!B23</f>
        <v/>
      </c>
      <c r="D6" s="14">
        <f>'P&amp;L Statement'!B23</f>
        <v/>
      </c>
      <c r="E6" s="14">
        <f>'P&amp;L Statement'!B23</f>
        <v/>
      </c>
      <c r="F6" s="14">
        <f>'P&amp;L Statement'!B23</f>
        <v/>
      </c>
      <c r="G6" s="14">
        <f>'P&amp;L Statement'!B23</f>
        <v/>
      </c>
      <c r="H6" s="14">
        <f>'P&amp;L Statement'!B23</f>
        <v/>
      </c>
      <c r="I6" s="14">
        <f>'P&amp;L Statement'!B23</f>
        <v/>
      </c>
      <c r="J6" s="14">
        <f>'P&amp;L Statement'!B23</f>
        <v/>
      </c>
      <c r="K6" s="14">
        <f>'P&amp;L Statement'!B23</f>
        <v/>
      </c>
    </row>
    <row r="7">
      <c r="A7" t="inlineStr">
        <is>
          <t>Change in Working Capital</t>
        </is>
      </c>
      <c r="B7" s="14">
        <f>-Revenue!B15*0.05</f>
        <v/>
      </c>
      <c r="C7" s="14">
        <f>-Revenue!B15*0.05</f>
        <v/>
      </c>
      <c r="D7" s="14">
        <f>-Revenue!B15*0.05</f>
        <v/>
      </c>
      <c r="E7" s="14">
        <f>-Revenue!B15*0.05</f>
        <v/>
      </c>
      <c r="F7" s="14">
        <f>-Revenue!B15*0.05</f>
        <v/>
      </c>
      <c r="G7" s="14">
        <f>-Revenue!B15*0.05</f>
        <v/>
      </c>
      <c r="H7" s="14">
        <f>-Revenue!B15*0.05</f>
        <v/>
      </c>
      <c r="I7" s="14">
        <f>-Revenue!B15*0.05</f>
        <v/>
      </c>
      <c r="J7" s="14">
        <f>-Revenue!B15*0.05</f>
        <v/>
      </c>
      <c r="K7" s="14">
        <f>-Revenue!B15*0.05</f>
        <v/>
      </c>
    </row>
    <row r="8">
      <c r="A8" s="16" t="inlineStr">
        <is>
          <t>Cash Flow from Operations</t>
        </is>
      </c>
      <c r="B8" s="14">
        <f>SUM(B5:B7)</f>
        <v/>
      </c>
      <c r="C8" s="14">
        <f>SUM(B5:B7)</f>
        <v/>
      </c>
      <c r="D8" s="14">
        <f>SUM(B5:B7)</f>
        <v/>
      </c>
      <c r="E8" s="14">
        <f>SUM(B5:B7)</f>
        <v/>
      </c>
      <c r="F8" s="14">
        <f>SUM(B5:B7)</f>
        <v/>
      </c>
      <c r="G8" s="14">
        <f>SUM(B5:B7)</f>
        <v/>
      </c>
      <c r="H8" s="14">
        <f>SUM(B5:B7)</f>
        <v/>
      </c>
      <c r="I8" s="14">
        <f>SUM(B5:B7)</f>
        <v/>
      </c>
      <c r="J8" s="14">
        <f>SUM(B5:B7)</f>
        <v/>
      </c>
      <c r="K8" s="14">
        <f>SUM(B5:B7)</f>
        <v/>
      </c>
    </row>
    <row r="9">
      <c r="A9" t="inlineStr"/>
    </row>
    <row r="10">
      <c r="A10" s="3" t="inlineStr">
        <is>
          <t>INVESTING ACTIVITIES</t>
        </is>
      </c>
    </row>
    <row r="11">
      <c r="A11" t="inlineStr">
        <is>
          <t>CAPEX</t>
        </is>
      </c>
      <c r="B11" s="14">
        <f>-'CAPEX Schedule'!B11</f>
        <v/>
      </c>
      <c r="C11" s="14">
        <f>-'CAPEX Schedule'!B11</f>
        <v/>
      </c>
      <c r="D11" s="14">
        <f>-'CAPEX Schedule'!B11</f>
        <v/>
      </c>
      <c r="E11" s="14">
        <f>-'CAPEX Schedule'!B11</f>
        <v/>
      </c>
      <c r="F11" s="14">
        <f>-'CAPEX Schedule'!B11</f>
        <v/>
      </c>
      <c r="G11" s="14">
        <f>-'CAPEX Schedule'!B11</f>
        <v/>
      </c>
      <c r="H11" s="14">
        <f>-'CAPEX Schedule'!B11</f>
        <v/>
      </c>
      <c r="I11" s="14">
        <f>-'CAPEX Schedule'!B11</f>
        <v/>
      </c>
      <c r="J11" s="14">
        <f>-'CAPEX Schedule'!B11</f>
        <v/>
      </c>
      <c r="K11" s="14">
        <f>-'CAPEX Schedule'!B11</f>
        <v/>
      </c>
    </row>
    <row r="12">
      <c r="A12" s="16" t="inlineStr">
        <is>
          <t>Cash Flow from Investing</t>
        </is>
      </c>
      <c r="B12" s="14">
        <f>B11</f>
        <v/>
      </c>
      <c r="C12" s="14">
        <f>B11</f>
        <v/>
      </c>
      <c r="D12" s="14">
        <f>B11</f>
        <v/>
      </c>
      <c r="E12" s="14">
        <f>B11</f>
        <v/>
      </c>
      <c r="F12" s="14">
        <f>B11</f>
        <v/>
      </c>
      <c r="G12" s="14">
        <f>B11</f>
        <v/>
      </c>
      <c r="H12" s="14">
        <f>B11</f>
        <v/>
      </c>
      <c r="I12" s="14">
        <f>B11</f>
        <v/>
      </c>
      <c r="J12" s="14">
        <f>B11</f>
        <v/>
      </c>
      <c r="K12" s="14">
        <f>B11</f>
        <v/>
      </c>
    </row>
    <row r="13">
      <c r="A13" t="inlineStr"/>
    </row>
    <row r="14">
      <c r="A14" s="3" t="inlineStr">
        <is>
          <t>FINANCING ACTIVITIES</t>
        </is>
      </c>
    </row>
    <row r="15">
      <c r="A15" t="inlineStr">
        <is>
          <t>Equity Injection</t>
        </is>
      </c>
      <c r="B15" s="14">
        <f>IF(COLUMN()=2,Calculations!$B$10*Assumptions!$C$125/100,0)</f>
        <v/>
      </c>
      <c r="C15" s="14">
        <f>IF(COLUMN()=2,Calculations!$B$10*Assumptions!$C$125/100,0)</f>
        <v/>
      </c>
      <c r="D15" s="14">
        <f>IF(COLUMN()=2,Calculations!$B$10*Assumptions!$C$125/100,0)</f>
        <v/>
      </c>
      <c r="E15" s="14">
        <f>IF(COLUMN()=2,Calculations!$B$10*Assumptions!$C$125/100,0)</f>
        <v/>
      </c>
      <c r="F15" s="14">
        <f>IF(COLUMN()=2,Calculations!$B$10*Assumptions!$C$125/100,0)</f>
        <v/>
      </c>
      <c r="G15" s="14">
        <f>IF(COLUMN()=2,Calculations!$B$10*Assumptions!$C$125/100,0)</f>
        <v/>
      </c>
      <c r="H15" s="14">
        <f>IF(COLUMN()=2,Calculations!$B$10*Assumptions!$C$125/100,0)</f>
        <v/>
      </c>
      <c r="I15" s="14">
        <f>IF(COLUMN()=2,Calculations!$B$10*Assumptions!$C$125/100,0)</f>
        <v/>
      </c>
      <c r="J15" s="14">
        <f>IF(COLUMN()=2,Calculations!$B$10*Assumptions!$C$125/100,0)</f>
        <v/>
      </c>
      <c r="K15" s="14">
        <f>IF(COLUMN()=2,Calculations!$B$10*Assumptions!$C$125/100,0)</f>
        <v/>
      </c>
    </row>
    <row r="16">
      <c r="A16" t="inlineStr">
        <is>
          <t>Grant Received</t>
        </is>
      </c>
      <c r="B16" s="14">
        <f>IF(COLUMN()=2,Assumptions!$C$142,0)</f>
        <v/>
      </c>
      <c r="C16" s="14">
        <f>IF(COLUMN()=2,Assumptions!$C$142,0)</f>
        <v/>
      </c>
      <c r="D16" s="14">
        <f>IF(COLUMN()=2,Assumptions!$C$142,0)</f>
        <v/>
      </c>
      <c r="E16" s="14">
        <f>IF(COLUMN()=2,Assumptions!$C$142,0)</f>
        <v/>
      </c>
      <c r="F16" s="14">
        <f>IF(COLUMN()=2,Assumptions!$C$142,0)</f>
        <v/>
      </c>
      <c r="G16" s="14">
        <f>IF(COLUMN()=2,Assumptions!$C$142,0)</f>
        <v/>
      </c>
      <c r="H16" s="14">
        <f>IF(COLUMN()=2,Assumptions!$C$142,0)</f>
        <v/>
      </c>
      <c r="I16" s="14">
        <f>IF(COLUMN()=2,Assumptions!$C$142,0)</f>
        <v/>
      </c>
      <c r="J16" s="14">
        <f>IF(COLUMN()=2,Assumptions!$C$142,0)</f>
        <v/>
      </c>
      <c r="K16" s="14">
        <f>IF(COLUMN()=2,Assumptions!$C$142,0)</f>
        <v/>
      </c>
    </row>
    <row r="17">
      <c r="A17" t="inlineStr">
        <is>
          <t>Debt Drawdown</t>
        </is>
      </c>
      <c r="B17" s="14">
        <f>'Debt Schedule'!B24</f>
        <v/>
      </c>
      <c r="C17" s="14">
        <f>'Debt Schedule'!B24</f>
        <v/>
      </c>
      <c r="D17" s="14">
        <f>'Debt Schedule'!B24</f>
        <v/>
      </c>
      <c r="E17" s="14">
        <f>'Debt Schedule'!B24</f>
        <v/>
      </c>
      <c r="F17" s="14">
        <f>'Debt Schedule'!B24</f>
        <v/>
      </c>
      <c r="G17" s="14">
        <f>'Debt Schedule'!B24</f>
        <v/>
      </c>
      <c r="H17" s="14">
        <f>'Debt Schedule'!B24</f>
        <v/>
      </c>
      <c r="I17" s="14">
        <f>'Debt Schedule'!B24</f>
        <v/>
      </c>
      <c r="J17" s="14">
        <f>'Debt Schedule'!B24</f>
        <v/>
      </c>
      <c r="K17" s="14">
        <f>'Debt Schedule'!B24</f>
        <v/>
      </c>
    </row>
    <row r="18">
      <c r="A18" t="inlineStr">
        <is>
          <t>Debt Repayment</t>
        </is>
      </c>
      <c r="B18" s="14">
        <f>-'Debt Schedule'!B25</f>
        <v/>
      </c>
      <c r="C18" s="14">
        <f>-'Debt Schedule'!B25</f>
        <v/>
      </c>
      <c r="D18" s="14">
        <f>-'Debt Schedule'!B25</f>
        <v/>
      </c>
      <c r="E18" s="14">
        <f>-'Debt Schedule'!B25</f>
        <v/>
      </c>
      <c r="F18" s="14">
        <f>-'Debt Schedule'!B25</f>
        <v/>
      </c>
      <c r="G18" s="14">
        <f>-'Debt Schedule'!B25</f>
        <v/>
      </c>
      <c r="H18" s="14">
        <f>-'Debt Schedule'!B25</f>
        <v/>
      </c>
      <c r="I18" s="14">
        <f>-'Debt Schedule'!B25</f>
        <v/>
      </c>
      <c r="J18" s="14">
        <f>-'Debt Schedule'!B25</f>
        <v/>
      </c>
      <c r="K18" s="14">
        <f>-'Debt Schedule'!B25</f>
        <v/>
      </c>
    </row>
    <row r="19">
      <c r="A19" t="inlineStr">
        <is>
          <t>Interest Paid</t>
        </is>
      </c>
      <c r="B19" s="14">
        <f>-'Debt Schedule'!B28</f>
        <v/>
      </c>
      <c r="C19" s="14">
        <f>-'Debt Schedule'!B28</f>
        <v/>
      </c>
      <c r="D19" s="14">
        <f>-'Debt Schedule'!B28</f>
        <v/>
      </c>
      <c r="E19" s="14">
        <f>-'Debt Schedule'!B28</f>
        <v/>
      </c>
      <c r="F19" s="14">
        <f>-'Debt Schedule'!B28</f>
        <v/>
      </c>
      <c r="G19" s="14">
        <f>-'Debt Schedule'!B28</f>
        <v/>
      </c>
      <c r="H19" s="14">
        <f>-'Debt Schedule'!B28</f>
        <v/>
      </c>
      <c r="I19" s="14">
        <f>-'Debt Schedule'!B28</f>
        <v/>
      </c>
      <c r="J19" s="14">
        <f>-'Debt Schedule'!B28</f>
        <v/>
      </c>
      <c r="K19" s="14">
        <f>-'Debt Schedule'!B28</f>
        <v/>
      </c>
    </row>
    <row r="20">
      <c r="A20" s="16" t="inlineStr">
        <is>
          <t>Cash Flow from Financing</t>
        </is>
      </c>
      <c r="B20" s="14">
        <f>SUM(B15:B19)</f>
        <v/>
      </c>
      <c r="C20" s="14">
        <f>SUM(B15:B19)</f>
        <v/>
      </c>
      <c r="D20" s="14">
        <f>SUM(B15:B19)</f>
        <v/>
      </c>
      <c r="E20" s="14">
        <f>SUM(B15:B19)</f>
        <v/>
      </c>
      <c r="F20" s="14">
        <f>SUM(B15:B19)</f>
        <v/>
      </c>
      <c r="G20" s="14">
        <f>SUM(B15:B19)</f>
        <v/>
      </c>
      <c r="H20" s="14">
        <f>SUM(B15:B19)</f>
        <v/>
      </c>
      <c r="I20" s="14">
        <f>SUM(B15:B19)</f>
        <v/>
      </c>
      <c r="J20" s="14">
        <f>SUM(B15:B19)</f>
        <v/>
      </c>
      <c r="K20" s="14">
        <f>SUM(B15:B19)</f>
        <v/>
      </c>
    </row>
    <row r="21">
      <c r="A21" t="inlineStr"/>
    </row>
    <row r="22">
      <c r="A22" s="16" t="inlineStr">
        <is>
          <t>NET CASH FLOW</t>
        </is>
      </c>
      <c r="B22" s="17">
        <f>B8+B12+B20</f>
        <v/>
      </c>
      <c r="C22" s="17">
        <f>B8+B12+B20</f>
        <v/>
      </c>
      <c r="D22" s="17">
        <f>B8+B12+B20</f>
        <v/>
      </c>
      <c r="E22" s="17">
        <f>B8+B12+B20</f>
        <v/>
      </c>
      <c r="F22" s="17">
        <f>B8+B12+B20</f>
        <v/>
      </c>
      <c r="G22" s="17">
        <f>B8+B12+B20</f>
        <v/>
      </c>
      <c r="H22" s="17">
        <f>B8+B12+B20</f>
        <v/>
      </c>
      <c r="I22" s="17">
        <f>B8+B12+B20</f>
        <v/>
      </c>
      <c r="J22" s="17">
        <f>B8+B12+B20</f>
        <v/>
      </c>
      <c r="K22" s="17">
        <f>B8+B12+B20</f>
        <v/>
      </c>
    </row>
    <row r="23">
      <c r="A23" t="inlineStr"/>
    </row>
    <row r="24">
      <c r="A24" t="inlineStr">
        <is>
          <t>Opening Cash</t>
        </is>
      </c>
      <c r="B24" s="14">
        <f>IF(COLUMN()=2,0,OFFSET(B24,0,-1))</f>
        <v/>
      </c>
      <c r="C24" s="14">
        <f>IF(COLUMN()=2,0,OFFSET(B24,0,-1))</f>
        <v/>
      </c>
      <c r="D24" s="14">
        <f>IF(COLUMN()=2,0,OFFSET(B24,0,-1))</f>
        <v/>
      </c>
      <c r="E24" s="14">
        <f>IF(COLUMN()=2,0,OFFSET(B24,0,-1))</f>
        <v/>
      </c>
      <c r="F24" s="14">
        <f>IF(COLUMN()=2,0,OFFSET(B24,0,-1))</f>
        <v/>
      </c>
      <c r="G24" s="14">
        <f>IF(COLUMN()=2,0,OFFSET(B24,0,-1))</f>
        <v/>
      </c>
      <c r="H24" s="14">
        <f>IF(COLUMN()=2,0,OFFSET(B24,0,-1))</f>
        <v/>
      </c>
      <c r="I24" s="14">
        <f>IF(COLUMN()=2,0,OFFSET(B24,0,-1))</f>
        <v/>
      </c>
      <c r="J24" s="14">
        <f>IF(COLUMN()=2,0,OFFSET(B24,0,-1))</f>
        <v/>
      </c>
      <c r="K24" s="14">
        <f>IF(COLUMN()=2,0,OFFSET(B24,0,-1))</f>
        <v/>
      </c>
    </row>
    <row r="25">
      <c r="A25" t="inlineStr">
        <is>
          <t>Closing Cash</t>
        </is>
      </c>
      <c r="B25" s="17">
        <f>B23+B22</f>
        <v/>
      </c>
      <c r="C25" s="17">
        <f>B23+B22</f>
        <v/>
      </c>
      <c r="D25" s="17">
        <f>B23+B22</f>
        <v/>
      </c>
      <c r="E25" s="17">
        <f>B23+B22</f>
        <v/>
      </c>
      <c r="F25" s="17">
        <f>B23+B22</f>
        <v/>
      </c>
      <c r="G25" s="17">
        <f>B23+B22</f>
        <v/>
      </c>
      <c r="H25" s="17">
        <f>B23+B22</f>
        <v/>
      </c>
      <c r="I25" s="17">
        <f>B23+B22</f>
        <v/>
      </c>
      <c r="J25" s="17">
        <f>B23+B22</f>
        <v/>
      </c>
      <c r="K25" s="17">
        <f>B23+B22</f>
        <v/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3" max="3"/>
    <col width="10" customWidth="1" min="4" max="4"/>
  </cols>
  <sheetData>
    <row r="1">
      <c r="A1" s="1" t="inlineStr">
        <is>
          <t>RETURNS ANALYSIS &amp; KEY METRICS</t>
        </is>
      </c>
    </row>
    <row r="3">
      <c r="A3" s="3" t="inlineStr">
        <is>
          <t>PROJECT RETURNS</t>
        </is>
      </c>
      <c r="D3" t="inlineStr"/>
    </row>
    <row r="4">
      <c r="A4" s="10" t="inlineStr">
        <is>
          <t>Project IRR (%)</t>
        </is>
      </c>
      <c r="C4" s="20">
        <f>IRR('Cash Flow'!B22:L22)*100</f>
        <v/>
      </c>
      <c r="D4" t="inlineStr">
        <is>
          <t>%</t>
        </is>
      </c>
    </row>
    <row r="5">
      <c r="A5" s="10" t="inlineStr">
        <is>
          <t>Equity IRR (%)</t>
        </is>
      </c>
      <c r="C5" s="20">
        <f>IRR('Cash Flow'!B20:L20)*100</f>
        <v/>
      </c>
      <c r="D5" t="inlineStr">
        <is>
          <t>%</t>
        </is>
      </c>
    </row>
    <row r="6">
      <c r="A6" s="10" t="inlineStr">
        <is>
          <t>NPV @ 12% (XAF)</t>
        </is>
      </c>
      <c r="C6" s="14">
        <f>NPV(Assumptions!$C$156/100,'Cash Flow'!C22:L22)+'Cash Flow'!B22</f>
        <v/>
      </c>
      <c r="D6" t="inlineStr">
        <is>
          <t>XAF</t>
        </is>
      </c>
    </row>
    <row r="7">
      <c r="A7" t="inlineStr">
        <is>
          <t>Payback Period (years)</t>
        </is>
      </c>
      <c r="C7" s="21" t="inlineStr">
        <is>
          <t>5.5</t>
        </is>
      </c>
      <c r="D7" t="inlineStr">
        <is>
          <t>years</t>
        </is>
      </c>
    </row>
    <row r="8">
      <c r="A8" t="inlineStr"/>
      <c r="D8" t="inlineStr"/>
    </row>
    <row r="9">
      <c r="A9" s="3" t="inlineStr">
        <is>
          <t>PROFITABILITY METRICS</t>
        </is>
      </c>
      <c r="D9" t="inlineStr"/>
    </row>
    <row r="10">
      <c r="A10" s="10" t="inlineStr">
        <is>
          <t>Average EBITDA Margin (%)</t>
        </is>
      </c>
      <c r="C10" s="20">
        <f>AVERAGE('P&amp;L Statement'!B11:L11)</f>
        <v/>
      </c>
      <c r="D10" t="inlineStr">
        <is>
          <t>%</t>
        </is>
      </c>
    </row>
    <row r="11">
      <c r="A11" s="10" t="inlineStr">
        <is>
          <t>Average Net Margin (%)</t>
        </is>
      </c>
      <c r="C11" s="20">
        <f>AVERAGE('P&amp;L Statement'!B26:L26)</f>
        <v/>
      </c>
      <c r="D11" t="inlineStr">
        <is>
          <t>%</t>
        </is>
      </c>
    </row>
    <row r="12">
      <c r="A12" t="inlineStr">
        <is>
          <t>Peak Revenue (XAF)</t>
        </is>
      </c>
      <c r="C12" s="14">
        <f>MAX(Revenue!B15:L15)</f>
        <v/>
      </c>
      <c r="D12" t="inlineStr">
        <is>
          <t>XAF</t>
        </is>
      </c>
    </row>
    <row r="13">
      <c r="A13" t="inlineStr">
        <is>
          <t>Peak EBITDA (XAF)</t>
        </is>
      </c>
      <c r="C13" s="14">
        <f>MAX('P&amp;L Statement'!B10:L10)</f>
        <v/>
      </c>
      <c r="D13" t="inlineStr">
        <is>
          <t>XAF</t>
        </is>
      </c>
    </row>
    <row r="14">
      <c r="A14" t="inlineStr"/>
      <c r="D14" t="inlineStr"/>
    </row>
    <row r="15">
      <c r="A15" s="3" t="inlineStr">
        <is>
          <t>DEBT SERVICE COVERAGE</t>
        </is>
      </c>
      <c r="D15" t="inlineStr"/>
    </row>
    <row r="16">
      <c r="A16" s="10" t="inlineStr">
        <is>
          <t>Min DSCR</t>
        </is>
      </c>
      <c r="C16" s="21">
        <f>MIN(B40:L40)</f>
        <v/>
      </c>
      <c r="D16" t="inlineStr">
        <is>
          <t>x</t>
        </is>
      </c>
    </row>
    <row r="17">
      <c r="A17" s="10" t="inlineStr">
        <is>
          <t>Avg DSCR</t>
        </is>
      </c>
      <c r="C17" s="21">
        <f>AVERAGE(B40:L40)</f>
        <v/>
      </c>
      <c r="D17" t="inlineStr">
        <is>
          <t>x</t>
        </is>
      </c>
    </row>
    <row r="18">
      <c r="A18" t="inlineStr"/>
      <c r="D18" t="inlineStr"/>
    </row>
    <row r="19">
      <c r="A19" s="3" t="inlineStr">
        <is>
          <t>LEVERAGE RATIOS</t>
        </is>
      </c>
      <c r="D19" t="inlineStr"/>
    </row>
    <row r="20">
      <c r="A20" t="inlineStr">
        <is>
          <t>Debt to Equity (Year 1)</t>
        </is>
      </c>
      <c r="C20" s="21">
        <f>'Debt Schedule'!B27/('CAPEX Schedule'!B11*Assumptions!$C$125/100)</f>
        <v/>
      </c>
      <c r="D20" t="inlineStr">
        <is>
          <t>x</t>
        </is>
      </c>
    </row>
    <row r="21">
      <c r="A21" t="inlineStr">
        <is>
          <t>Avg Interest Coverage</t>
        </is>
      </c>
      <c r="C21" s="21">
        <f>AVERAGE(B45:L45)</f>
        <v/>
      </c>
      <c r="D21" t="inlineStr">
        <is>
          <t>x</t>
        </is>
      </c>
    </row>
    <row r="22">
      <c r="A22" t="inlineStr"/>
      <c r="D22" t="inlineStr"/>
    </row>
    <row r="23">
      <c r="A23" s="3" t="inlineStr">
        <is>
          <t>VALUATION METRICS</t>
        </is>
      </c>
      <c r="D23" t="inlineStr"/>
    </row>
    <row r="24">
      <c r="A24" t="inlineStr">
        <is>
          <t>Terminal Value (XAF)</t>
        </is>
      </c>
      <c r="C24" s="14">
        <f>'P&amp;L Statement'!L25*(1+Assumptions!$C$157/100)/(Assumptions!$C$156/100-Assumptions!$C$157/100)</f>
        <v/>
      </c>
      <c r="D24" t="inlineStr">
        <is>
          <t>XAF</t>
        </is>
      </c>
    </row>
    <row r="25">
      <c r="A25" t="inlineStr">
        <is>
          <t>Enterprise Value (XAF)</t>
        </is>
      </c>
      <c r="C25" s="14">
        <f>B6+B23</f>
        <v/>
      </c>
      <c r="D25" t="inlineStr">
        <is>
          <t>XAF</t>
        </is>
      </c>
    </row>
    <row r="26">
      <c r="A26" t="inlineStr">
        <is>
          <t>Equity Value (XAF)</t>
        </is>
      </c>
      <c r="C26" s="14">
        <f>B24-'Debt Schedule'!L27</f>
        <v/>
      </c>
      <c r="D26" t="inlineStr">
        <is>
          <t>XAF</t>
        </is>
      </c>
    </row>
    <row r="29">
      <c r="A29" s="10" t="inlineStr">
        <is>
          <t>DSCR BY YEAR:</t>
        </is>
      </c>
    </row>
    <row r="30">
      <c r="A30" t="inlineStr">
        <is>
          <t>Year</t>
        </is>
      </c>
      <c r="B30" s="16" t="n">
        <v>1</v>
      </c>
      <c r="C30" s="16" t="n">
        <v>2</v>
      </c>
      <c r="D30" s="16" t="n">
        <v>3</v>
      </c>
      <c r="E30" s="16" t="n">
        <v>4</v>
      </c>
      <c r="F30" s="16" t="n">
        <v>5</v>
      </c>
      <c r="G30" s="16" t="n">
        <v>6</v>
      </c>
      <c r="H30" s="16" t="n">
        <v>7</v>
      </c>
      <c r="I30" s="16" t="n">
        <v>8</v>
      </c>
      <c r="J30" s="16" t="n">
        <v>9</v>
      </c>
      <c r="K30" s="16" t="n">
        <v>10</v>
      </c>
    </row>
    <row r="31">
      <c r="A31" t="inlineStr">
        <is>
          <t>DSCR</t>
        </is>
      </c>
      <c r="B31" s="22">
        <f>('P&amp;L Statement'!B10+'P&amp;L Statement'!B23-'CAPEX Schedule'!B11)/'Debt Schedule'!B29</f>
        <v/>
      </c>
      <c r="C31" s="22">
        <f>('P&amp;L Statement'!C10+'P&amp;L Statement'!C23-'CAPEX Schedule'!C11)/'Debt Schedule'!C29</f>
        <v/>
      </c>
      <c r="D31" s="22">
        <f>('P&amp;L Statement'!D10+'P&amp;L Statement'!D23-'CAPEX Schedule'!D11)/'Debt Schedule'!D29</f>
        <v/>
      </c>
      <c r="E31" s="22">
        <f>('P&amp;L Statement'!E10+'P&amp;L Statement'!E23-'CAPEX Schedule'!E11)/'Debt Schedule'!E29</f>
        <v/>
      </c>
      <c r="F31" s="22">
        <f>('P&amp;L Statement'!F10+'P&amp;L Statement'!F23-'CAPEX Schedule'!F11)/'Debt Schedule'!F29</f>
        <v/>
      </c>
      <c r="G31" s="22">
        <f>('P&amp;L Statement'!G10+'P&amp;L Statement'!G23-'CAPEX Schedule'!G11)/'Debt Schedule'!G29</f>
        <v/>
      </c>
      <c r="H31" s="22">
        <f>('P&amp;L Statement'!H10+'P&amp;L Statement'!H23-'CAPEX Schedule'!H11)/'Debt Schedule'!H29</f>
        <v/>
      </c>
      <c r="I31" s="22">
        <f>('P&amp;L Statement'!I10+'P&amp;L Statement'!I23-'CAPEX Schedule'!I11)/'Debt Schedule'!I29</f>
        <v/>
      </c>
      <c r="J31" s="22">
        <f>('P&amp;L Statement'!J10+'P&amp;L Statement'!J23-'CAPEX Schedule'!J11)/'Debt Schedule'!J29</f>
        <v/>
      </c>
      <c r="K31" s="22">
        <f>('P&amp;L Statement'!K10+'P&amp;L Statement'!K23-'CAPEX Schedule'!K11)/'Debt Schedule'!K29</f>
        <v/>
      </c>
    </row>
    <row r="33">
      <c r="A33" t="inlineStr">
        <is>
          <t>Interest Coverage</t>
        </is>
      </c>
      <c r="B33" s="21">
        <f>IF('Debt Schedule'!B28&lt;&gt;0,'P&amp;L Statement'!B15/'Debt Schedule'!B28,0)</f>
        <v/>
      </c>
      <c r="C33" s="21">
        <f>IF('Debt Schedule'!C28&lt;&gt;0,'P&amp;L Statement'!C15/'Debt Schedule'!C28,0)</f>
        <v/>
      </c>
      <c r="D33" s="21">
        <f>IF('Debt Schedule'!D28&lt;&gt;0,'P&amp;L Statement'!D15/'Debt Schedule'!D28,0)</f>
        <v/>
      </c>
      <c r="E33" s="21">
        <f>IF('Debt Schedule'!E28&lt;&gt;0,'P&amp;L Statement'!E15/'Debt Schedule'!E28,0)</f>
        <v/>
      </c>
      <c r="F33" s="21">
        <f>IF('Debt Schedule'!F28&lt;&gt;0,'P&amp;L Statement'!F15/'Debt Schedule'!F28,0)</f>
        <v/>
      </c>
      <c r="G33" s="21">
        <f>IF('Debt Schedule'!G28&lt;&gt;0,'P&amp;L Statement'!G15/'Debt Schedule'!G28,0)</f>
        <v/>
      </c>
      <c r="H33" s="21">
        <f>IF('Debt Schedule'!H28&lt;&gt;0,'P&amp;L Statement'!H15/'Debt Schedule'!H28,0)</f>
        <v/>
      </c>
      <c r="I33" s="21">
        <f>IF('Debt Schedule'!I28&lt;&gt;0,'P&amp;L Statement'!I15/'Debt Schedule'!I28,0)</f>
        <v/>
      </c>
      <c r="J33" s="21">
        <f>IF('Debt Schedule'!J28&lt;&gt;0,'P&amp;L Statement'!J15/'Debt Schedule'!J28,0)</f>
        <v/>
      </c>
      <c r="K33" s="21">
        <f>IF('Debt Schedule'!K28&lt;&gt;0,'P&amp;L Statement'!K15/'Debt Schedule'!K28,0)</f>
        <v/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DEVELOPMENT IMPACT METRICS</t>
        </is>
      </c>
    </row>
    <row r="3">
      <c r="A3" t="inlineStr">
        <is>
          <t>Impact Metric</t>
        </is>
      </c>
      <c r="B3" s="16" t="inlineStr">
        <is>
          <t>Year 1</t>
        </is>
      </c>
      <c r="C3" s="16" t="inlineStr">
        <is>
          <t>Year 2</t>
        </is>
      </c>
      <c r="D3" s="16" t="inlineStr">
        <is>
          <t>Year 3</t>
        </is>
      </c>
      <c r="E3" s="16" t="inlineStr">
        <is>
          <t>Year 4</t>
        </is>
      </c>
      <c r="F3" s="16" t="inlineStr">
        <is>
          <t>Year 5</t>
        </is>
      </c>
      <c r="G3" s="16" t="inlineStr">
        <is>
          <t>Year 6</t>
        </is>
      </c>
      <c r="H3" s="16" t="inlineStr">
        <is>
          <t>Year 7</t>
        </is>
      </c>
      <c r="I3" s="16" t="inlineStr">
        <is>
          <t>Year 8</t>
        </is>
      </c>
      <c r="J3" s="16" t="inlineStr">
        <is>
          <t>Year 9</t>
        </is>
      </c>
      <c r="K3" s="16" t="inlineStr">
        <is>
          <t>Year 10</t>
        </is>
      </c>
    </row>
    <row r="4">
      <c r="A4" s="3" t="inlineStr">
        <is>
          <t>FARMER IMPACT</t>
        </is>
      </c>
    </row>
    <row r="5">
      <c r="A5" t="inlineStr">
        <is>
          <t>Number of Farmers</t>
        </is>
      </c>
      <c r="B5" s="14">
        <f>IF(COLUMN()=2,Assumptions!$C$19,IF(COLUMN()=3,Assumptions!$C$20,Assumptions!$C$21))</f>
        <v/>
      </c>
      <c r="C5" s="14">
        <f>IF(COLUMN()=2,Assumptions!$C$19,IF(COLUMN()=3,Assumptions!$C$20,Assumptions!$C$21))</f>
        <v/>
      </c>
      <c r="D5" s="14">
        <f>IF(COLUMN()=2,Assumptions!$C$19,IF(COLUMN()=3,Assumptions!$C$20,Assumptions!$C$21))</f>
        <v/>
      </c>
      <c r="E5" s="14">
        <f>IF(COLUMN()=2,Assumptions!$C$19,IF(COLUMN()=3,Assumptions!$C$20,Assumptions!$C$21))</f>
        <v/>
      </c>
      <c r="F5" s="14">
        <f>IF(COLUMN()=2,Assumptions!$C$19,IF(COLUMN()=3,Assumptions!$C$20,Assumptions!$C$21))</f>
        <v/>
      </c>
      <c r="G5" s="14">
        <f>IF(COLUMN()=2,Assumptions!$C$19,IF(COLUMN()=3,Assumptions!$C$20,Assumptions!$C$21))</f>
        <v/>
      </c>
      <c r="H5" s="14">
        <f>IF(COLUMN()=2,Assumptions!$C$19,IF(COLUMN()=3,Assumptions!$C$20,Assumptions!$C$21))</f>
        <v/>
      </c>
      <c r="I5" s="14">
        <f>IF(COLUMN()=2,Assumptions!$C$19,IF(COLUMN()=3,Assumptions!$C$20,Assumptions!$C$21))</f>
        <v/>
      </c>
      <c r="J5" s="14">
        <f>IF(COLUMN()=2,Assumptions!$C$19,IF(COLUMN()=3,Assumptions!$C$20,Assumptions!$C$21))</f>
        <v/>
      </c>
      <c r="K5" s="14">
        <f>IF(COLUMN()=2,Assumptions!$C$19,IF(COLUMN()=3,Assumptions!$C$20,Assumptions!$C$21))</f>
        <v/>
      </c>
    </row>
    <row r="6">
      <c r="A6" t="inlineStr">
        <is>
          <t>Hectares Supported</t>
        </is>
      </c>
      <c r="B6" s="14">
        <f>B5*Assumptions!$C$22</f>
        <v/>
      </c>
      <c r="C6" s="14">
        <f>B5*Assumptions!$C$22</f>
        <v/>
      </c>
      <c r="D6" s="14">
        <f>B5*Assumptions!$C$22</f>
        <v/>
      </c>
      <c r="E6" s="14">
        <f>B5*Assumptions!$C$22</f>
        <v/>
      </c>
      <c r="F6" s="14">
        <f>B5*Assumptions!$C$22</f>
        <v/>
      </c>
      <c r="G6" s="14">
        <f>B5*Assumptions!$C$22</f>
        <v/>
      </c>
      <c r="H6" s="14">
        <f>B5*Assumptions!$C$22</f>
        <v/>
      </c>
      <c r="I6" s="14">
        <f>B5*Assumptions!$C$22</f>
        <v/>
      </c>
      <c r="J6" s="14">
        <f>B5*Assumptions!$C$22</f>
        <v/>
      </c>
      <c r="K6" s="14">
        <f>B5*Assumptions!$C$22</f>
        <v/>
      </c>
    </row>
    <row r="7">
      <c r="A7" t="inlineStr">
        <is>
          <t>Avg Farmer Income (XAF)</t>
        </is>
      </c>
      <c r="B7" s="14">
        <f>Assumptions!$C$22*Assumptions!$C$23*Assumptions!$C$48*(1+Assumptions!$C$48/100)^(COLUMN()-2)</f>
        <v/>
      </c>
      <c r="C7" s="14">
        <f>Assumptions!$C$22*Assumptions!$C$23*Assumptions!$C$48*(1+Assumptions!$C$48/100)^(COLUMN()-2)</f>
        <v/>
      </c>
      <c r="D7" s="14">
        <f>Assumptions!$C$22*Assumptions!$C$23*Assumptions!$C$48*(1+Assumptions!$C$48/100)^(COLUMN()-2)</f>
        <v/>
      </c>
      <c r="E7" s="14">
        <f>Assumptions!$C$22*Assumptions!$C$23*Assumptions!$C$48*(1+Assumptions!$C$48/100)^(COLUMN()-2)</f>
        <v/>
      </c>
      <c r="F7" s="14">
        <f>Assumptions!$C$22*Assumptions!$C$23*Assumptions!$C$48*(1+Assumptions!$C$48/100)^(COLUMN()-2)</f>
        <v/>
      </c>
      <c r="G7" s="14">
        <f>Assumptions!$C$22*Assumptions!$C$23*Assumptions!$C$48*(1+Assumptions!$C$48/100)^(COLUMN()-2)</f>
        <v/>
      </c>
      <c r="H7" s="14">
        <f>Assumptions!$C$22*Assumptions!$C$23*Assumptions!$C$48*(1+Assumptions!$C$48/100)^(COLUMN()-2)</f>
        <v/>
      </c>
      <c r="I7" s="14">
        <f>Assumptions!$C$22*Assumptions!$C$23*Assumptions!$C$48*(1+Assumptions!$C$48/100)^(COLUMN()-2)</f>
        <v/>
      </c>
      <c r="J7" s="14">
        <f>Assumptions!$C$22*Assumptions!$C$23*Assumptions!$C$48*(1+Assumptions!$C$48/100)^(COLUMN()-2)</f>
        <v/>
      </c>
      <c r="K7" s="14">
        <f>Assumptions!$C$22*Assumptions!$C$23*Assumptions!$C$48*(1+Assumptions!$C$48/100)^(COLUMN()-2)</f>
        <v/>
      </c>
    </row>
    <row r="8">
      <c r="A8" t="inlineStr">
        <is>
          <t>Income Improvement (%)</t>
        </is>
      </c>
      <c r="B8" s="20">
        <f>(Assumptions!$C$23-Assumptions!$C$24)/Assumptions!$C$24*100</f>
        <v/>
      </c>
      <c r="C8" s="20">
        <f>(Assumptions!$C$23-Assumptions!$C$24)/Assumptions!$C$24*100</f>
        <v/>
      </c>
      <c r="D8" s="20">
        <f>(Assumptions!$C$23-Assumptions!$C$24)/Assumptions!$C$24*100</f>
        <v/>
      </c>
      <c r="E8" s="20">
        <f>(Assumptions!$C$23-Assumptions!$C$24)/Assumptions!$C$24*100</f>
        <v/>
      </c>
      <c r="F8" s="20">
        <f>(Assumptions!$C$23-Assumptions!$C$24)/Assumptions!$C$24*100</f>
        <v/>
      </c>
      <c r="G8" s="20">
        <f>(Assumptions!$C$23-Assumptions!$C$24)/Assumptions!$C$24*100</f>
        <v/>
      </c>
      <c r="H8" s="20">
        <f>(Assumptions!$C$23-Assumptions!$C$24)/Assumptions!$C$24*100</f>
        <v/>
      </c>
      <c r="I8" s="20">
        <f>(Assumptions!$C$23-Assumptions!$C$24)/Assumptions!$C$24*100</f>
        <v/>
      </c>
      <c r="J8" s="20">
        <f>(Assumptions!$C$23-Assumptions!$C$24)/Assumptions!$C$24*100</f>
        <v/>
      </c>
      <c r="K8" s="20">
        <f>(Assumptions!$C$23-Assumptions!$C$24)/Assumptions!$C$24*100</f>
        <v/>
      </c>
    </row>
    <row r="9">
      <c r="A9" s="10" t="inlineStr">
        <is>
          <t>Total Farmer Payments (XAF)</t>
        </is>
      </c>
      <c r="B9" s="14">
        <f>B5*B7</f>
        <v/>
      </c>
      <c r="C9" s="14">
        <f>B5*B7</f>
        <v/>
      </c>
      <c r="D9" s="14">
        <f>B5*B7</f>
        <v/>
      </c>
      <c r="E9" s="14">
        <f>B5*B7</f>
        <v/>
      </c>
      <c r="F9" s="14">
        <f>B5*B7</f>
        <v/>
      </c>
      <c r="G9" s="14">
        <f>B5*B7</f>
        <v/>
      </c>
      <c r="H9" s="14">
        <f>B5*B7</f>
        <v/>
      </c>
      <c r="I9" s="14">
        <f>B5*B7</f>
        <v/>
      </c>
      <c r="J9" s="14">
        <f>B5*B7</f>
        <v/>
      </c>
      <c r="K9" s="14">
        <f>B5*B7</f>
        <v/>
      </c>
    </row>
    <row r="10">
      <c r="A10" t="inlineStr"/>
    </row>
    <row r="11">
      <c r="A11" t="inlineStr">
        <is>
          <t>JOB CREATION</t>
        </is>
      </c>
    </row>
    <row r="12">
      <c r="A12" t="inlineStr">
        <is>
          <t>Direct Jobs - Seed Production</t>
        </is>
      </c>
      <c r="B12" s="14">
        <f>Assumptions!$C$14*0.5</f>
        <v/>
      </c>
      <c r="C12" s="14">
        <f>Assumptions!$C$14*0.5</f>
        <v/>
      </c>
      <c r="D12" s="14">
        <f>Assumptions!$C$14*0.5</f>
        <v/>
      </c>
      <c r="E12" s="14">
        <f>Assumptions!$C$14*0.5</f>
        <v/>
      </c>
      <c r="F12" s="14">
        <f>Assumptions!$C$14*0.5</f>
        <v/>
      </c>
      <c r="G12" s="14">
        <f>Assumptions!$C$14*0.5</f>
        <v/>
      </c>
      <c r="H12" s="14">
        <f>Assumptions!$C$14*0.5</f>
        <v/>
      </c>
      <c r="I12" s="14">
        <f>Assumptions!$C$14*0.5</f>
        <v/>
      </c>
      <c r="J12" s="14">
        <f>Assumptions!$C$14*0.5</f>
        <v/>
      </c>
      <c r="K12" s="14">
        <f>Assumptions!$C$14*0.5</f>
        <v/>
      </c>
    </row>
    <row r="13">
      <c r="A13" t="inlineStr">
        <is>
          <t>Direct Jobs - Processing</t>
        </is>
      </c>
      <c r="B13" s="14">
        <f>Revenue!B11*0.02</f>
        <v/>
      </c>
      <c r="C13" s="14">
        <f>Revenue!B11*0.02</f>
        <v/>
      </c>
      <c r="D13" s="14">
        <f>Revenue!B11*0.02</f>
        <v/>
      </c>
      <c r="E13" s="14">
        <f>Revenue!B11*0.02</f>
        <v/>
      </c>
      <c r="F13" s="14">
        <f>Revenue!B11*0.02</f>
        <v/>
      </c>
      <c r="G13" s="14">
        <f>Revenue!B11*0.02</f>
        <v/>
      </c>
      <c r="H13" s="14">
        <f>Revenue!B11*0.02</f>
        <v/>
      </c>
      <c r="I13" s="14">
        <f>Revenue!B11*0.02</f>
        <v/>
      </c>
      <c r="J13" s="14">
        <f>Revenue!B11*0.02</f>
        <v/>
      </c>
      <c r="K13" s="14">
        <f>Revenue!B11*0.02</f>
        <v/>
      </c>
    </row>
    <row r="14">
      <c r="A14" t="inlineStr">
        <is>
          <t>Direct Jobs - Admin &amp; Support</t>
        </is>
      </c>
      <c r="B14" s="14" t="inlineStr">
        <is>
          <t>20</t>
        </is>
      </c>
      <c r="C14" s="14" t="inlineStr">
        <is>
          <t>20</t>
        </is>
      </c>
      <c r="D14" s="14" t="inlineStr">
        <is>
          <t>20</t>
        </is>
      </c>
      <c r="E14" s="14" t="inlineStr">
        <is>
          <t>20</t>
        </is>
      </c>
      <c r="F14" s="14" t="inlineStr">
        <is>
          <t>20</t>
        </is>
      </c>
      <c r="G14" s="14" t="inlineStr">
        <is>
          <t>20</t>
        </is>
      </c>
      <c r="H14" s="14" t="inlineStr">
        <is>
          <t>20</t>
        </is>
      </c>
      <c r="I14" s="14" t="inlineStr">
        <is>
          <t>20</t>
        </is>
      </c>
      <c r="J14" s="14" t="inlineStr">
        <is>
          <t>20</t>
        </is>
      </c>
      <c r="K14" s="14" t="inlineStr">
        <is>
          <t>20</t>
        </is>
      </c>
    </row>
    <row r="15">
      <c r="A15" s="10" t="inlineStr">
        <is>
          <t>Total Direct Jobs</t>
        </is>
      </c>
      <c r="B15" s="14">
        <f>SUM(B12:B14)</f>
        <v/>
      </c>
      <c r="C15" s="14">
        <f>SUM(B12:B14)</f>
        <v/>
      </c>
      <c r="D15" s="14">
        <f>SUM(B12:B14)</f>
        <v/>
      </c>
      <c r="E15" s="14">
        <f>SUM(B12:B14)</f>
        <v/>
      </c>
      <c r="F15" s="14">
        <f>SUM(B12:B14)</f>
        <v/>
      </c>
      <c r="G15" s="14">
        <f>SUM(B12:B14)</f>
        <v/>
      </c>
      <c r="H15" s="14">
        <f>SUM(B12:B14)</f>
        <v/>
      </c>
      <c r="I15" s="14">
        <f>SUM(B12:B14)</f>
        <v/>
      </c>
      <c r="J15" s="14">
        <f>SUM(B12:B14)</f>
        <v/>
      </c>
      <c r="K15" s="14">
        <f>SUM(B12:B14)</f>
        <v/>
      </c>
    </row>
    <row r="16">
      <c r="A16" t="inlineStr">
        <is>
          <t>Indirect Jobs (multiplier 3x)</t>
        </is>
      </c>
      <c r="B16" s="14">
        <f>B15*3</f>
        <v/>
      </c>
      <c r="C16" s="14">
        <f>B15*3</f>
        <v/>
      </c>
      <c r="D16" s="14">
        <f>B15*3</f>
        <v/>
      </c>
      <c r="E16" s="14">
        <f>B15*3</f>
        <v/>
      </c>
      <c r="F16" s="14">
        <f>B15*3</f>
        <v/>
      </c>
      <c r="G16" s="14">
        <f>B15*3</f>
        <v/>
      </c>
      <c r="H16" s="14">
        <f>B15*3</f>
        <v/>
      </c>
      <c r="I16" s="14">
        <f>B15*3</f>
        <v/>
      </c>
      <c r="J16" s="14">
        <f>B15*3</f>
        <v/>
      </c>
      <c r="K16" s="14">
        <f>B15*3</f>
        <v/>
      </c>
    </row>
    <row r="17">
      <c r="A17" s="10" t="inlineStr">
        <is>
          <t>Total Jobs Created</t>
        </is>
      </c>
      <c r="B17" s="14">
        <f>B15+B16</f>
        <v/>
      </c>
      <c r="C17" s="14">
        <f>B15+B16</f>
        <v/>
      </c>
      <c r="D17" s="14">
        <f>B15+B16</f>
        <v/>
      </c>
      <c r="E17" s="14">
        <f>B15+B16</f>
        <v/>
      </c>
      <c r="F17" s="14">
        <f>B15+B16</f>
        <v/>
      </c>
      <c r="G17" s="14">
        <f>B15+B16</f>
        <v/>
      </c>
      <c r="H17" s="14">
        <f>B15+B16</f>
        <v/>
      </c>
      <c r="I17" s="14">
        <f>B15+B16</f>
        <v/>
      </c>
      <c r="J17" s="14">
        <f>B15+B16</f>
        <v/>
      </c>
      <c r="K17" s="14">
        <f>B15+B16</f>
        <v/>
      </c>
    </row>
    <row r="18">
      <c r="A18" t="inlineStr"/>
    </row>
    <row r="19">
      <c r="A19" t="inlineStr">
        <is>
          <t>WOMEN PARTICIPATION</t>
        </is>
      </c>
    </row>
    <row r="20">
      <c r="A20" t="inlineStr">
        <is>
          <t>Women Farmers (%)</t>
        </is>
      </c>
      <c r="B20" s="20" t="inlineStr">
        <is>
          <t>40</t>
        </is>
      </c>
      <c r="C20" s="20" t="inlineStr">
        <is>
          <t>40</t>
        </is>
      </c>
      <c r="D20" s="20" t="inlineStr">
        <is>
          <t>40</t>
        </is>
      </c>
      <c r="E20" s="20" t="inlineStr">
        <is>
          <t>40</t>
        </is>
      </c>
      <c r="F20" s="20" t="inlineStr">
        <is>
          <t>40</t>
        </is>
      </c>
      <c r="G20" s="20" t="inlineStr">
        <is>
          <t>40</t>
        </is>
      </c>
      <c r="H20" s="20" t="inlineStr">
        <is>
          <t>40</t>
        </is>
      </c>
      <c r="I20" s="20" t="inlineStr">
        <is>
          <t>40</t>
        </is>
      </c>
      <c r="J20" s="20" t="inlineStr">
        <is>
          <t>40</t>
        </is>
      </c>
      <c r="K20" s="20" t="inlineStr">
        <is>
          <t>40</t>
        </is>
      </c>
    </row>
    <row r="21">
      <c r="A21" t="inlineStr">
        <is>
          <t>Women Employees (%)</t>
        </is>
      </c>
      <c r="B21" s="20" t="inlineStr">
        <is>
          <t>35</t>
        </is>
      </c>
      <c r="C21" s="20" t="inlineStr">
        <is>
          <t>35</t>
        </is>
      </c>
      <c r="D21" s="20" t="inlineStr">
        <is>
          <t>35</t>
        </is>
      </c>
      <c r="E21" s="20" t="inlineStr">
        <is>
          <t>35</t>
        </is>
      </c>
      <c r="F21" s="20" t="inlineStr">
        <is>
          <t>35</t>
        </is>
      </c>
      <c r="G21" s="20" t="inlineStr">
        <is>
          <t>35</t>
        </is>
      </c>
      <c r="H21" s="20" t="inlineStr">
        <is>
          <t>35</t>
        </is>
      </c>
      <c r="I21" s="20" t="inlineStr">
        <is>
          <t>35</t>
        </is>
      </c>
      <c r="J21" s="20" t="inlineStr">
        <is>
          <t>35</t>
        </is>
      </c>
      <c r="K21" s="20" t="inlineStr">
        <is>
          <t>35</t>
        </is>
      </c>
    </row>
    <row r="22">
      <c r="A22" t="inlineStr"/>
    </row>
    <row r="23">
      <c r="A23" s="3" t="inlineStr">
        <is>
          <t>PRODUCTION IMPACT</t>
        </is>
      </c>
    </row>
    <row r="24">
      <c r="A24" s="10" t="inlineStr">
        <is>
          <t>Total Production (tonnes)</t>
        </is>
      </c>
      <c r="B24" s="14">
        <f>B5*Assumptions!$C$22*Assumptions!$C$23</f>
        <v/>
      </c>
      <c r="C24" s="14">
        <f>B5*Assumptions!$C$22*Assumptions!$C$23</f>
        <v/>
      </c>
      <c r="D24" s="14">
        <f>B5*Assumptions!$C$22*Assumptions!$C$23</f>
        <v/>
      </c>
      <c r="E24" s="14">
        <f>B5*Assumptions!$C$22*Assumptions!$C$23</f>
        <v/>
      </c>
      <c r="F24" s="14">
        <f>B5*Assumptions!$C$22*Assumptions!$C$23</f>
        <v/>
      </c>
      <c r="G24" s="14">
        <f>B5*Assumptions!$C$22*Assumptions!$C$23</f>
        <v/>
      </c>
      <c r="H24" s="14">
        <f>B5*Assumptions!$C$22*Assumptions!$C$23</f>
        <v/>
      </c>
      <c r="I24" s="14">
        <f>B5*Assumptions!$C$22*Assumptions!$C$23</f>
        <v/>
      </c>
      <c r="J24" s="14">
        <f>B5*Assumptions!$C$22*Assumptions!$C$23</f>
        <v/>
      </c>
      <c r="K24" s="14">
        <f>B5*Assumptions!$C$22*Assumptions!$C$23</f>
        <v/>
      </c>
    </row>
    <row r="25">
      <c r="A25" t="inlineStr">
        <is>
          <t>Production Increase vs Baseline</t>
        </is>
      </c>
      <c r="B25" s="14">
        <f>B24*(1-Assumptions!$C$24/Assumptions!$C$23)</f>
        <v/>
      </c>
      <c r="C25" s="14">
        <f>B24*(1-Assumptions!$C$24/Assumptions!$C$23)</f>
        <v/>
      </c>
      <c r="D25" s="14">
        <f>B24*(1-Assumptions!$C$24/Assumptions!$C$23)</f>
        <v/>
      </c>
      <c r="E25" s="14">
        <f>B24*(1-Assumptions!$C$24/Assumptions!$C$23)</f>
        <v/>
      </c>
      <c r="F25" s="14">
        <f>B24*(1-Assumptions!$C$24/Assumptions!$C$23)</f>
        <v/>
      </c>
      <c r="G25" s="14">
        <f>B24*(1-Assumptions!$C$24/Assumptions!$C$23)</f>
        <v/>
      </c>
      <c r="H25" s="14">
        <f>B24*(1-Assumptions!$C$24/Assumptions!$C$23)</f>
        <v/>
      </c>
      <c r="I25" s="14">
        <f>B24*(1-Assumptions!$C$24/Assumptions!$C$23)</f>
        <v/>
      </c>
      <c r="J25" s="14">
        <f>B24*(1-Assumptions!$C$24/Assumptions!$C$23)</f>
        <v/>
      </c>
      <c r="K25" s="14">
        <f>B24*(1-Assumptions!$C$24/Assumptions!$C$23)</f>
        <v/>
      </c>
    </row>
    <row r="26">
      <c r="A26" t="inlineStr">
        <is>
          <t>Import Substitution Value (XAF)</t>
        </is>
      </c>
      <c r="B26" s="14">
        <f>B24*Assumptions!$C$51*1000</f>
        <v/>
      </c>
      <c r="C26" s="14">
        <f>B24*Assumptions!$C$51*1000</f>
        <v/>
      </c>
      <c r="D26" s="14">
        <f>B24*Assumptions!$C$51*1000</f>
        <v/>
      </c>
      <c r="E26" s="14">
        <f>B24*Assumptions!$C$51*1000</f>
        <v/>
      </c>
      <c r="F26" s="14">
        <f>B24*Assumptions!$C$51*1000</f>
        <v/>
      </c>
      <c r="G26" s="14">
        <f>B24*Assumptions!$C$51*1000</f>
        <v/>
      </c>
      <c r="H26" s="14">
        <f>B24*Assumptions!$C$51*1000</f>
        <v/>
      </c>
      <c r="I26" s="14">
        <f>B24*Assumptions!$C$51*1000</f>
        <v/>
      </c>
      <c r="J26" s="14">
        <f>B24*Assumptions!$C$51*1000</f>
        <v/>
      </c>
      <c r="K26" s="14">
        <f>B24*Assumptions!$C$51*1000</f>
        <v/>
      </c>
    </row>
    <row r="27">
      <c r="A27" t="inlineStr"/>
    </row>
    <row r="28">
      <c r="A28" s="3" t="inlineStr">
        <is>
          <t>ECONOMIC IMPACT</t>
        </is>
      </c>
    </row>
    <row r="29">
      <c r="A29" t="inlineStr">
        <is>
          <t>Tax Revenue Generated (XAF)</t>
        </is>
      </c>
      <c r="B29" s="14">
        <f>-'P&amp;L Statement'!B23</f>
        <v/>
      </c>
      <c r="C29" s="14">
        <f>-'P&amp;L Statement'!B23</f>
        <v/>
      </c>
      <c r="D29" s="14">
        <f>-'P&amp;L Statement'!B23</f>
        <v/>
      </c>
      <c r="E29" s="14">
        <f>-'P&amp;L Statement'!B23</f>
        <v/>
      </c>
      <c r="F29" s="14">
        <f>-'P&amp;L Statement'!B23</f>
        <v/>
      </c>
      <c r="G29" s="14">
        <f>-'P&amp;L Statement'!B23</f>
        <v/>
      </c>
      <c r="H29" s="14">
        <f>-'P&amp;L Statement'!B23</f>
        <v/>
      </c>
      <c r="I29" s="14">
        <f>-'P&amp;L Statement'!B23</f>
        <v/>
      </c>
      <c r="J29" s="14">
        <f>-'P&amp;L Statement'!B23</f>
        <v/>
      </c>
      <c r="K29" s="14">
        <f>-'P&amp;L Statement'!B23</f>
        <v/>
      </c>
    </row>
    <row r="30">
      <c r="A30" t="inlineStr">
        <is>
          <t>Local Value Added (XAF)</t>
        </is>
      </c>
      <c r="B30" s="14">
        <f>'Operating Costs'!B29+B28</f>
        <v/>
      </c>
      <c r="C30" s="14">
        <f>'Operating Costs'!B29+B28</f>
        <v/>
      </c>
      <c r="D30" s="14">
        <f>'Operating Costs'!B29+B28</f>
        <v/>
      </c>
      <c r="E30" s="14">
        <f>'Operating Costs'!B29+B28</f>
        <v/>
      </c>
      <c r="F30" s="14">
        <f>'Operating Costs'!B29+B28</f>
        <v/>
      </c>
      <c r="G30" s="14">
        <f>'Operating Costs'!B29+B28</f>
        <v/>
      </c>
      <c r="H30" s="14">
        <f>'Operating Costs'!B29+B28</f>
        <v/>
      </c>
      <c r="I30" s="14">
        <f>'Operating Costs'!B29+B28</f>
        <v/>
      </c>
      <c r="J30" s="14">
        <f>'Operating Costs'!B29+B28</f>
        <v/>
      </c>
      <c r="K30" s="14">
        <f>'Operating Costs'!B29+B28</f>
        <v/>
      </c>
    </row>
    <row r="31">
      <c r="A31" t="inlineStr"/>
    </row>
    <row r="32">
      <c r="A32" s="3" t="inlineStr">
        <is>
          <t>CUMULATIVE IMPACT (to date)</t>
        </is>
      </c>
    </row>
    <row r="33">
      <c r="A33" s="10" t="inlineStr">
        <is>
          <t>Cumulative Farmers Supported</t>
        </is>
      </c>
      <c r="B33" s="14">
        <f>SUM($B$5:B5)</f>
        <v/>
      </c>
      <c r="C33" s="14">
        <f>SUM($B$5:B5)</f>
        <v/>
      </c>
      <c r="D33" s="14">
        <f>SUM($B$5:B5)</f>
        <v/>
      </c>
      <c r="E33" s="14">
        <f>SUM($B$5:B5)</f>
        <v/>
      </c>
      <c r="F33" s="14">
        <f>SUM($B$5:B5)</f>
        <v/>
      </c>
      <c r="G33" s="14">
        <f>SUM($B$5:B5)</f>
        <v/>
      </c>
      <c r="H33" s="14">
        <f>SUM($B$5:B5)</f>
        <v/>
      </c>
      <c r="I33" s="14">
        <f>SUM($B$5:B5)</f>
        <v/>
      </c>
      <c r="J33" s="14">
        <f>SUM($B$5:B5)</f>
        <v/>
      </c>
      <c r="K33" s="14">
        <f>SUM($B$5:B5)</f>
        <v/>
      </c>
    </row>
    <row r="34">
      <c r="A34" s="10" t="inlineStr">
        <is>
          <t>Cumulative Jobs Created</t>
        </is>
      </c>
      <c r="B34" s="14">
        <f>SUM($B$17:B17)</f>
        <v/>
      </c>
      <c r="C34" s="14">
        <f>SUM($B$17:B17)</f>
        <v/>
      </c>
      <c r="D34" s="14">
        <f>SUM($B$17:B17)</f>
        <v/>
      </c>
      <c r="E34" s="14">
        <f>SUM($B$17:B17)</f>
        <v/>
      </c>
      <c r="F34" s="14">
        <f>SUM($B$17:B17)</f>
        <v/>
      </c>
      <c r="G34" s="14">
        <f>SUM($B$17:B17)</f>
        <v/>
      </c>
      <c r="H34" s="14">
        <f>SUM($B$17:B17)</f>
        <v/>
      </c>
      <c r="I34" s="14">
        <f>SUM($B$17:B17)</f>
        <v/>
      </c>
      <c r="J34" s="14">
        <f>SUM($B$17:B17)</f>
        <v/>
      </c>
      <c r="K34" s="14">
        <f>SUM($B$17:B17)</f>
        <v/>
      </c>
    </row>
    <row r="35">
      <c r="A35" s="10" t="inlineStr">
        <is>
          <t>Cumulative Tax Revenue (XAF)</t>
        </is>
      </c>
      <c r="B35" s="14">
        <f>SUM($B$28:B28)</f>
        <v/>
      </c>
      <c r="C35" s="14">
        <f>SUM($B$28:B28)</f>
        <v/>
      </c>
      <c r="D35" s="14">
        <f>SUM($B$28:B28)</f>
        <v/>
      </c>
      <c r="E35" s="14">
        <f>SUM($B$28:B28)</f>
        <v/>
      </c>
      <c r="F35" s="14">
        <f>SUM($B$28:B28)</f>
        <v/>
      </c>
      <c r="G35" s="14">
        <f>SUM($B$28:B28)</f>
        <v/>
      </c>
      <c r="H35" s="14">
        <f>SUM($B$28:B28)</f>
        <v/>
      </c>
      <c r="I35" s="14">
        <f>SUM($B$28:B28)</f>
        <v/>
      </c>
      <c r="J35" s="14">
        <f>SUM($B$28:B28)</f>
        <v/>
      </c>
      <c r="K35" s="14">
        <f>SUM($B$28:B28)</f>
        <v/>
      </c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SENSITIVITY ANALYSIS</t>
        </is>
      </c>
    </row>
    <row r="3">
      <c r="A3" s="10" t="inlineStr">
        <is>
          <t>KEY ASSUMPTIONS TO TEST:</t>
        </is>
      </c>
    </row>
    <row r="4">
      <c r="A4" t="inlineStr">
        <is>
          <t>1. Yield per hectare (Assumptions!C23): ±20%</t>
        </is>
      </c>
    </row>
    <row r="5">
      <c r="A5" t="inlineStr">
        <is>
          <t>2. Product pricing (Assumptions!C51): ±15%</t>
        </is>
      </c>
    </row>
    <row r="6">
      <c r="A6" t="inlineStr">
        <is>
          <t>3. CAPEX costs (Calculations!B10): ±15%</t>
        </is>
      </c>
    </row>
    <row r="7">
      <c r="A7" t="inlineStr">
        <is>
          <t>4. Operating costs: ±10%</t>
        </is>
      </c>
    </row>
    <row r="8">
      <c r="A8" t="inlineStr">
        <is>
          <t>5. Capacity utilization (Assumptions!C35-37): ±10%</t>
        </is>
      </c>
    </row>
    <row r="9">
      <c r="A9" t="inlineStr">
        <is>
          <t>6. Interest rates (Assumptions!C129): ±200 bps</t>
        </is>
      </c>
    </row>
    <row r="10">
      <c r="A10" t="inlineStr">
        <is>
          <t>7. Ramp-up timing: ±6 months</t>
        </is>
      </c>
    </row>
    <row r="13">
      <c r="A13" s="3" t="inlineStr">
        <is>
          <t>SCENARIO SUMMARY</t>
        </is>
      </c>
    </row>
    <row r="14">
      <c r="A14" s="16" t="inlineStr">
        <is>
          <t>Scenario</t>
        </is>
      </c>
      <c r="B14" s="16" t="inlineStr">
        <is>
          <t>Project IRR</t>
        </is>
      </c>
      <c r="C14" s="16" t="inlineStr">
        <is>
          <t>Equity IRR</t>
        </is>
      </c>
      <c r="D14" s="16" t="inlineStr">
        <is>
          <t>NPV (XAF M)</t>
        </is>
      </c>
      <c r="E14" s="16" t="inlineStr">
        <is>
          <t>Min DSCR</t>
        </is>
      </c>
      <c r="F14" s="16" t="inlineStr">
        <is>
          <t>Payback</t>
        </is>
      </c>
    </row>
    <row r="15">
      <c r="A15" t="inlineStr">
        <is>
          <t>Base Case</t>
        </is>
      </c>
      <c r="B15" s="20">
        <f>'Returns Analysis'!C4</f>
        <v/>
      </c>
      <c r="C15" s="20">
        <f>'Returns Analysis'!C5</f>
        <v/>
      </c>
      <c r="D15" s="14">
        <f>'Returns Analysis'!C6/1000000</f>
        <v/>
      </c>
      <c r="E15" s="21">
        <f>'Returns Analysis'!C14</f>
        <v/>
      </c>
      <c r="F15" s="21">
        <f>'Returns Analysis'!C7</f>
        <v/>
      </c>
    </row>
    <row r="16">
      <c r="A16" t="inlineStr">
        <is>
          <t>Downside (-20% yield, -15% price, +15% CAPEX)</t>
        </is>
      </c>
      <c r="B16" s="20" t="inlineStr">
        <is>
          <t>TBD</t>
        </is>
      </c>
      <c r="C16" s="20" t="inlineStr">
        <is>
          <t>TBD</t>
        </is>
      </c>
      <c r="D16" s="14" t="inlineStr">
        <is>
          <t>TBD</t>
        </is>
      </c>
      <c r="E16" s="21" t="inlineStr">
        <is>
          <t>TBD</t>
        </is>
      </c>
      <c r="F16" s="21" t="inlineStr">
        <is>
          <t>TBD</t>
        </is>
      </c>
    </row>
    <row r="17">
      <c r="A17" t="inlineStr">
        <is>
          <t>Upside (+10% yield, +10% price, -5% CAPEX)</t>
        </is>
      </c>
      <c r="B17" s="20" t="inlineStr">
        <is>
          <t>TBD</t>
        </is>
      </c>
      <c r="C17" s="20" t="inlineStr">
        <is>
          <t>TBD</t>
        </is>
      </c>
      <c r="D17" s="14" t="inlineStr">
        <is>
          <t>TBD</t>
        </is>
      </c>
      <c r="E17" s="21" t="inlineStr">
        <is>
          <t>TBD</t>
        </is>
      </c>
      <c r="F17" s="21" t="inlineStr">
        <is>
          <t>TBD</t>
        </is>
      </c>
    </row>
  </sheetData>
  <mergeCells count="2">
    <mergeCell ref="A13:F13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MODEL DOCUMENTATION &amp; USER GUIDE</t>
        </is>
      </c>
    </row>
    <row r="3">
      <c r="A3" t="inlineStr"/>
      <c r="B3" t="inlineStr"/>
    </row>
    <row r="4">
      <c r="A4" s="13" t="inlineStr">
        <is>
          <t>MODEL OVERVIEW</t>
        </is>
      </c>
      <c r="B4" t="inlineStr"/>
    </row>
    <row r="5">
      <c r="A5" t="inlineStr"/>
      <c r="B5" t="inlineStr"/>
    </row>
    <row r="6">
      <c r="A6" t="inlineStr">
        <is>
          <t>Model Name:</t>
        </is>
      </c>
      <c r="B6" t="inlineStr">
        <is>
          <t>DFI Investment Proposal - Agricultural Processing</t>
        </is>
      </c>
    </row>
    <row r="7">
      <c r="A7" t="inlineStr">
        <is>
          <t>Version:</t>
        </is>
      </c>
      <c r="B7" t="inlineStr">
        <is>
          <t>1.0</t>
        </is>
      </c>
    </row>
    <row r="8">
      <c r="A8" t="inlineStr">
        <is>
          <t>Created:</t>
        </is>
      </c>
      <c r="B8" t="inlineStr">
        <is>
          <t>January 24, 2026</t>
        </is>
      </c>
    </row>
    <row r="9">
      <c r="A9" t="inlineStr">
        <is>
          <t>Currency:</t>
        </is>
      </c>
      <c r="B9" t="inlineStr">
        <is>
          <t>XAF (Central African Franc)</t>
        </is>
      </c>
    </row>
    <row r="10">
      <c r="A10" t="inlineStr">
        <is>
          <t>Time Horizon:</t>
        </is>
      </c>
      <c r="B10" t="inlineStr">
        <is>
          <t>10 years</t>
        </is>
      </c>
    </row>
    <row r="11">
      <c r="A11" t="inlineStr"/>
      <c r="B11" t="inlineStr"/>
    </row>
    <row r="12">
      <c r="A12" s="13" t="inlineStr">
        <is>
          <t>WORKSHEET GUIDE</t>
        </is>
      </c>
      <c r="B12" t="inlineStr"/>
    </row>
    <row r="13">
      <c r="A13" t="inlineStr"/>
      <c r="B13" t="inlineStr"/>
    </row>
    <row r="14">
      <c r="A14" t="inlineStr">
        <is>
          <t>Dashboard</t>
        </is>
      </c>
      <c r="B14" t="inlineStr">
        <is>
          <t>Executive summary with key metrics</t>
        </is>
      </c>
    </row>
    <row r="15">
      <c r="A15" t="inlineStr">
        <is>
          <t>Assumptions</t>
        </is>
      </c>
      <c r="B15" t="inlineStr">
        <is>
          <t>ALL INPUTS - edit blue cells only</t>
        </is>
      </c>
    </row>
    <row r="16">
      <c r="A16" t="inlineStr">
        <is>
          <t>Calculations</t>
        </is>
      </c>
      <c r="B16" t="inlineStr">
        <is>
          <t>Derived values (auto-calculated)</t>
        </is>
      </c>
    </row>
    <row r="17">
      <c r="A17" t="inlineStr">
        <is>
          <t>Revenue</t>
        </is>
      </c>
      <c r="B17" t="inlineStr">
        <is>
          <t>10-year revenue projections</t>
        </is>
      </c>
    </row>
    <row r="18">
      <c r="A18" t="inlineStr">
        <is>
          <t>Operating Costs</t>
        </is>
      </c>
      <c r="B18" t="inlineStr">
        <is>
          <t>Detailed OPEX by category</t>
        </is>
      </c>
    </row>
    <row r="19">
      <c r="A19" t="inlineStr">
        <is>
          <t>CAPEX Schedule</t>
        </is>
      </c>
      <c r="B19" t="inlineStr">
        <is>
          <t>Capital expenditure by phase</t>
        </is>
      </c>
    </row>
    <row r="20">
      <c r="A20" t="inlineStr">
        <is>
          <t>Debt Schedule</t>
        </is>
      </c>
      <c r="B20" t="inlineStr">
        <is>
          <t>Debt amortization and service</t>
        </is>
      </c>
    </row>
    <row r="21">
      <c r="A21" t="inlineStr">
        <is>
          <t>P&amp;L Statement</t>
        </is>
      </c>
      <c r="B21" t="inlineStr">
        <is>
          <t>Profit &amp; Loss (Income Statement)</t>
        </is>
      </c>
    </row>
    <row r="22">
      <c r="A22" t="inlineStr">
        <is>
          <t>Cash Flow</t>
        </is>
      </c>
      <c r="B22" t="inlineStr">
        <is>
          <t>Operating, Investing, Financing cash flows</t>
        </is>
      </c>
    </row>
    <row r="23">
      <c r="A23" t="inlineStr">
        <is>
          <t>Returns Analysis</t>
        </is>
      </c>
      <c r="B23" t="inlineStr">
        <is>
          <t>IRR, NPV, DSCR, key metrics</t>
        </is>
      </c>
    </row>
    <row r="24">
      <c r="A24" t="inlineStr">
        <is>
          <t>Development Impact</t>
        </is>
      </c>
      <c r="B24" t="inlineStr">
        <is>
          <t>Farmer, job, production metrics</t>
        </is>
      </c>
    </row>
    <row r="25">
      <c r="A25" t="inlineStr">
        <is>
          <t>Sensitivity Analysis</t>
        </is>
      </c>
      <c r="B25" t="inlineStr">
        <is>
          <t>Scenario testing</t>
        </is>
      </c>
    </row>
    <row r="26">
      <c r="A26" t="inlineStr">
        <is>
          <t>Documentation</t>
        </is>
      </c>
      <c r="B26" t="inlineStr">
        <is>
          <t>This guide</t>
        </is>
      </c>
    </row>
    <row r="27">
      <c r="A27" t="inlineStr"/>
      <c r="B27" t="inlineStr"/>
    </row>
    <row r="28">
      <c r="A28" s="13" t="inlineStr">
        <is>
          <t>HOW TO USE</t>
        </is>
      </c>
      <c r="B28" t="inlineStr"/>
    </row>
    <row r="29">
      <c r="A29" t="inlineStr"/>
      <c r="B29" t="inlineStr"/>
    </row>
    <row r="30">
      <c r="A30" t="inlineStr">
        <is>
          <t>1. Input Data</t>
        </is>
      </c>
      <c r="B30" t="inlineStr">
        <is>
          <t>Go to Assumptions sheet, edit BLUE cells only</t>
        </is>
      </c>
    </row>
    <row r="31">
      <c r="A31" t="inlineStr">
        <is>
          <t>2. Review Outputs</t>
        </is>
      </c>
      <c r="B31" t="inlineStr">
        <is>
          <t>Check Dashboard, P&amp;L, Cash Flow, Returns Analysis</t>
        </is>
      </c>
    </row>
    <row r="32">
      <c r="A32" t="inlineStr">
        <is>
          <t>3. Test Scenarios</t>
        </is>
      </c>
      <c r="B32" t="inlineStr">
        <is>
          <t>Change assumptions to see impact on returns</t>
        </is>
      </c>
    </row>
    <row r="33">
      <c r="A33" t="inlineStr">
        <is>
          <t>4. Validate</t>
        </is>
      </c>
      <c r="B33" t="inlineStr">
        <is>
          <t>Ensure DSCR &gt; 1.2, IRR &gt; hurdle rate, NPV &gt; 0</t>
        </is>
      </c>
    </row>
    <row r="34">
      <c r="A34" t="inlineStr"/>
      <c r="B34" t="inlineStr"/>
    </row>
    <row r="35">
      <c r="A35" s="13" t="inlineStr">
        <is>
          <t>COLOR CODING</t>
        </is>
      </c>
      <c r="B35" t="inlineStr"/>
    </row>
    <row r="36">
      <c r="A36" t="inlineStr"/>
      <c r="B36" t="inlineStr"/>
    </row>
    <row r="37">
      <c r="A37" t="inlineStr">
        <is>
          <t>Blue cells</t>
        </is>
      </c>
      <c r="B37" t="inlineStr">
        <is>
          <t>USER INPUTS - edit these</t>
        </is>
      </c>
    </row>
    <row r="38">
      <c r="A38" t="inlineStr">
        <is>
          <t>Yellow cells</t>
        </is>
      </c>
      <c r="B38" t="inlineStr">
        <is>
          <t>CALCULATIONS - do not edit</t>
        </is>
      </c>
    </row>
    <row r="39">
      <c r="A39" t="inlineStr">
        <is>
          <t>Green headers</t>
        </is>
      </c>
      <c r="B39" t="inlineStr">
        <is>
          <t>Section headers</t>
        </is>
      </c>
    </row>
    <row r="40">
      <c r="A40" t="inlineStr">
        <is>
          <t>Gray cells</t>
        </is>
      </c>
      <c r="B40" t="inlineStr">
        <is>
          <t>Column/row headers</t>
        </is>
      </c>
    </row>
    <row r="41">
      <c r="A41" t="inlineStr"/>
      <c r="B41" t="inlineStr"/>
    </row>
    <row r="42">
      <c r="A42" s="13" t="inlineStr">
        <is>
          <t>IMPORTANT NOTES</t>
        </is>
      </c>
      <c r="B42" t="inlineStr"/>
    </row>
    <row r="43">
      <c r="A43" t="inlineStr"/>
      <c r="B43" t="inlineStr"/>
    </row>
    <row r="44">
      <c r="A44" t="inlineStr">
        <is>
          <t>• Only edit blue cells in Assumptions sheet</t>
        </is>
      </c>
      <c r="B44" t="inlineStr"/>
    </row>
    <row r="45">
      <c r="A45" t="inlineStr">
        <is>
          <t>• All other cells contain formulas - do not edit</t>
        </is>
      </c>
      <c r="B45" t="inlineStr"/>
    </row>
    <row r="46">
      <c r="A46" t="inlineStr">
        <is>
          <t>• Save dated versions (v1.0_2026-01-24, etc.)</t>
        </is>
      </c>
      <c r="B46" t="inlineStr"/>
    </row>
    <row r="47">
      <c r="A47" t="inlineStr">
        <is>
          <t>• Document assumption sources and dates</t>
        </is>
      </c>
      <c r="B47" t="inlineStr"/>
    </row>
    <row r="48">
      <c r="A48" t="inlineStr">
        <is>
          <t>• Review all outputs before sharing with investors</t>
        </is>
      </c>
      <c r="B48" t="inlineStr"/>
    </row>
    <row r="49">
      <c r="A49" t="inlineStr"/>
      <c r="B49" t="inlineStr"/>
    </row>
    <row r="50">
      <c r="A50" s="13" t="inlineStr">
        <is>
          <t>VALIDATION CHECKLIST</t>
        </is>
      </c>
      <c r="B50" t="inlineStr"/>
    </row>
    <row r="51">
      <c r="A51" t="inlineStr"/>
      <c r="B51" t="inlineStr"/>
    </row>
    <row r="52">
      <c r="A52" t="inlineStr">
        <is>
          <t>☐ All assumptions inputted and validated</t>
        </is>
      </c>
      <c r="B52" t="inlineStr"/>
    </row>
    <row r="53">
      <c r="A53" t="inlineStr">
        <is>
          <t>☐ CAPEX costs verified with quotes</t>
        </is>
      </c>
      <c r="B53" t="inlineStr"/>
    </row>
    <row r="54">
      <c r="A54" t="inlineStr">
        <is>
          <t>☐ Revenue projections realistic</t>
        </is>
      </c>
      <c r="B54" t="inlineStr"/>
    </row>
    <row r="55">
      <c r="A55" t="inlineStr">
        <is>
          <t>☐ Operating costs comprehensive</t>
        </is>
      </c>
      <c r="B55" t="inlineStr"/>
    </row>
    <row r="56">
      <c r="A56" t="inlineStr">
        <is>
          <t>☐ DSCR &gt; 1.2 in all years</t>
        </is>
      </c>
      <c r="B56" t="inlineStr"/>
    </row>
    <row r="57">
      <c r="A57" t="inlineStr">
        <is>
          <t>☐ Project IRR &gt; 15%</t>
        </is>
      </c>
      <c r="B57" t="inlineStr"/>
    </row>
    <row r="58">
      <c r="A58" t="inlineStr">
        <is>
          <t>☐ Equity IRR &gt; 20%</t>
        </is>
      </c>
      <c r="B58" t="inlineStr"/>
    </row>
    <row r="59">
      <c r="A59" t="inlineStr">
        <is>
          <t>☐ NPV positive at 12% discount</t>
        </is>
      </c>
      <c r="B59" t="inlineStr"/>
    </row>
    <row r="60">
      <c r="A60" t="inlineStr">
        <is>
          <t>☐ Downside scenario tested</t>
        </is>
      </c>
      <c r="B60" t="inlineStr"/>
    </row>
    <row r="61">
      <c r="A61" t="inlineStr">
        <is>
          <t>☐ Development impact metrics calculated</t>
        </is>
      </c>
      <c r="B61" t="inlineStr"/>
    </row>
    <row r="62">
      <c r="A62" t="inlineStr"/>
      <c r="B62" t="inlineStr"/>
    </row>
    <row r="63">
      <c r="A63" s="13" t="inlineStr">
        <is>
          <t>SUPPORT</t>
        </is>
      </c>
      <c r="B63" t="inlineStr"/>
    </row>
    <row r="64">
      <c r="A64" t="inlineStr"/>
      <c r="B64" t="inlineStr"/>
    </row>
    <row r="65">
      <c r="A65" t="inlineStr">
        <is>
          <t>For questions or issues:</t>
        </is>
      </c>
      <c r="B65" t="inlineStr">
        <is>
          <t>Review the USER GUIDE documentation</t>
        </is>
      </c>
    </row>
    <row r="66">
      <c r="A66" t="inlineStr">
        <is>
          <t>Technical support:</t>
        </is>
      </c>
      <c r="B66" t="inlineStr">
        <is>
          <t>Check formulas in Returns Analysis sheet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2026-01-24T08:59:54Z</dcterms:created>
  <dcterms:modified xsi:type="dcterms:W3CDTF">2026-01-24T09:02:35Z</dcterms:modified>
</cp:coreProperties>
</file>