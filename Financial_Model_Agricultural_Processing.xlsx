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ssumptions" sheetId="2" state="visible" r:id="rId2"/>
    <sheet name="Timeline" sheetId="3" state="visible" r:id="rId3"/>
    <sheet name="Revenue" sheetId="4" state="visible" r:id="rId4"/>
    <sheet name="Operating Costs" sheetId="5" state="visible" r:id="rId5"/>
    <sheet name="CAPEX Schedule" sheetId="6" state="visible" r:id="rId6"/>
    <sheet name="Debt Schedule" sheetId="7" state="visible" r:id="rId7"/>
    <sheet name="P&amp;L Statement" sheetId="8" state="visible" r:id="rId8"/>
    <sheet name="Returns Analysis" sheetId="9" state="visible" r:id="rId9"/>
    <sheet name="Sensitivity Analysi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-yyyy"/>
    <numFmt numFmtId="165" formatCode="yyyy-mm-dd h:mm:ss"/>
    <numFmt numFmtId="166" formatCode="0.0%"/>
    <numFmt numFmtId="167" formatCode="0.0"/>
  </numFmts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0000FF"/>
    </font>
    <font>
      <b val="1"/>
      <color rgb="00FFFFFF"/>
    </font>
    <font>
      <b val="1"/>
    </font>
    <font>
      <b val="1"/>
      <i val="1"/>
    </font>
    <font>
      <b val="1"/>
      <color rgb="00FFFFFF"/>
      <sz val="16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B4C7E7"/>
        <bgColor rgb="00B4C7E7"/>
      </patternFill>
    </fill>
    <fill>
      <patternFill patternType="solid">
        <fgColor rgb="00FFE699"/>
        <bgColor rgb="00FFE699"/>
      </patternFill>
    </fill>
    <fill>
      <patternFill patternType="solid">
        <fgColor rgb="00D9D9D9"/>
        <bgColor rgb="00D9D9D9"/>
      </patternFill>
    </fill>
    <fill>
      <patternFill patternType="solid">
        <fgColor rgb="00C6E0B4"/>
        <bgColor rgb="00C6E0B4"/>
      </patternFill>
    </fill>
    <fill>
      <patternFill patternType="solid">
        <fgColor rgb="00F4B084"/>
        <bgColor rgb="00F4B08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2" borderId="0" pivotButton="0" quotePrefix="0" xfId="0"/>
    <xf numFmtId="0" fontId="7" fillId="6" borderId="0" pivotButton="0" quotePrefix="0" xfId="0"/>
    <xf numFmtId="3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0" borderId="1" pivotButton="0" quotePrefix="0" xfId="0"/>
    <xf numFmtId="164" fontId="0" fillId="3" borderId="1" pivotButton="0" quotePrefix="0" xfId="0"/>
    <xf numFmtId="0" fontId="0" fillId="3" borderId="1" pivotButton="0" quotePrefix="0" xfId="0"/>
    <xf numFmtId="0" fontId="4" fillId="3" borderId="1" pivotButton="0" quotePrefix="0" xfId="0"/>
    <xf numFmtId="0" fontId="0" fillId="4" borderId="1" pivotButton="0" quotePrefix="0" xfId="0"/>
    <xf numFmtId="0" fontId="5" fillId="0" borderId="1" pivotButton="0" quotePrefix="0" xfId="0"/>
    <xf numFmtId="0" fontId="4" fillId="5" borderId="1" pivotButton="0" quotePrefix="0" xfId="0"/>
    <xf numFmtId="0" fontId="4" fillId="5" borderId="0" applyAlignment="1" pivotButton="0" quotePrefix="0" xfId="0">
      <alignment horizontal="center" vertical="center"/>
    </xf>
    <xf numFmtId="0" fontId="4" fillId="6" borderId="0" pivotButton="0" quotePrefix="0" xfId="0"/>
    <xf numFmtId="0" fontId="3" fillId="2" borderId="0" pivotButton="0" quotePrefix="0" xfId="0"/>
    <xf numFmtId="3" fontId="4" fillId="0" borderId="0" pivotButton="0" quotePrefix="0" xfId="0"/>
    <xf numFmtId="0" fontId="4" fillId="5" borderId="0" pivotButton="0" quotePrefix="0" xfId="0"/>
    <xf numFmtId="0" fontId="4" fillId="7" borderId="0" pivotButton="0" quotePrefix="0" xfId="0"/>
    <xf numFmtId="0" fontId="4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3" max="3"/>
    <col width="10" customWidth="1" min="4" max="4"/>
  </cols>
  <sheetData>
    <row r="1">
      <c r="A1" s="1" t="inlineStr">
        <is>
          <t>FINANCIAL MODEL - EXECUTIVE DASHBOARD</t>
        </is>
      </c>
    </row>
    <row r="3">
      <c r="A3" s="2" t="inlineStr">
        <is>
          <t>Project Overview</t>
        </is>
      </c>
    </row>
    <row r="4">
      <c r="A4" t="inlineStr">
        <is>
          <t>Total Investment (CAPEX)</t>
        </is>
      </c>
      <c r="C4" s="3">
        <f>Assumptions!C170</f>
        <v/>
      </c>
      <c r="D4" t="inlineStr">
        <is>
          <t>XAF</t>
        </is>
      </c>
    </row>
    <row r="5">
      <c r="A5" t="inlineStr">
        <is>
          <t>Equity Required</t>
        </is>
      </c>
      <c r="C5" s="3">
        <f>Assumptions!C170*Assumptions!C186/100</f>
        <v/>
      </c>
      <c r="D5" t="inlineStr">
        <is>
          <t>XAF</t>
        </is>
      </c>
    </row>
    <row r="6">
      <c r="A6" t="inlineStr">
        <is>
          <t>Senior Debt</t>
        </is>
      </c>
      <c r="C6" s="3">
        <f>Assumptions!C170*Assumptions!C189/100</f>
        <v/>
      </c>
      <c r="D6" t="inlineStr">
        <is>
          <t>XAF</t>
        </is>
      </c>
    </row>
    <row r="7">
      <c r="A7" t="inlineStr">
        <is>
          <t>Mezzanine Debt</t>
        </is>
      </c>
      <c r="C7" s="3">
        <f>Assumptions!C170*Assumptions!C198/100</f>
        <v/>
      </c>
      <c r="D7" t="inlineStr">
        <is>
          <t>XAF</t>
        </is>
      </c>
    </row>
    <row r="8">
      <c r="A8" t="inlineStr">
        <is>
          <t>Grant Funding</t>
        </is>
      </c>
      <c r="C8" s="3">
        <f>Assumptions!C205</f>
        <v/>
      </c>
      <c r="D8" t="inlineStr">
        <is>
          <t>XAF</t>
        </is>
      </c>
    </row>
    <row r="9">
      <c r="A9" t="inlineStr"/>
      <c r="C9" t="inlineStr"/>
      <c r="D9" t="inlineStr"/>
    </row>
    <row r="10">
      <c r="A10" t="inlineStr">
        <is>
          <t>Construction Period</t>
        </is>
      </c>
      <c r="C10">
        <f>Assumptions!C10</f>
        <v/>
      </c>
      <c r="D10" t="inlineStr">
        <is>
          <t>months</t>
        </is>
      </c>
    </row>
    <row r="11">
      <c r="A11" t="inlineStr">
        <is>
          <t>Operations Start</t>
        </is>
      </c>
      <c r="C11" s="4">
        <f>Assumptions!C17</f>
        <v/>
      </c>
      <c r="D11" t="inlineStr">
        <is>
          <t>date</t>
        </is>
      </c>
    </row>
    <row r="12">
      <c r="A12" t="inlineStr">
        <is>
          <t>Model Horizon</t>
        </is>
      </c>
      <c r="C12">
        <f>Assumptions!C9</f>
        <v/>
      </c>
      <c r="D12" t="inlineStr">
        <is>
          <t>years</t>
        </is>
      </c>
    </row>
    <row r="14">
      <c r="A14" s="2" t="inlineStr">
        <is>
          <t>Key Returns</t>
        </is>
      </c>
    </row>
    <row r="15">
      <c r="A15" t="inlineStr">
        <is>
          <t>Project IRR</t>
        </is>
      </c>
      <c r="C15" s="5">
        <f>'Returns Analysis'!C4</f>
        <v/>
      </c>
      <c r="D15" t="inlineStr">
        <is>
          <t>%</t>
        </is>
      </c>
    </row>
    <row r="16">
      <c r="A16" t="inlineStr">
        <is>
          <t>Equity IRR</t>
        </is>
      </c>
      <c r="C16" s="5">
        <f>'Returns Analysis'!C5</f>
        <v/>
      </c>
      <c r="D16" t="inlineStr">
        <is>
          <t>%</t>
        </is>
      </c>
    </row>
    <row r="17">
      <c r="A17" t="inlineStr">
        <is>
          <t>NPV @ 12%</t>
        </is>
      </c>
      <c r="C17" s="3">
        <f>'Returns Analysis'!C6</f>
        <v/>
      </c>
      <c r="D17" t="inlineStr">
        <is>
          <t>XAF</t>
        </is>
      </c>
    </row>
    <row r="18">
      <c r="A18" t="inlineStr">
        <is>
          <t>Min DSCR</t>
        </is>
      </c>
      <c r="C18" s="6">
        <f>'Returns Analysis'!C20</f>
        <v/>
      </c>
      <c r="D18" t="inlineStr">
        <is>
          <t>x</t>
        </is>
      </c>
    </row>
    <row r="19">
      <c r="A19" t="inlineStr">
        <is>
          <t>Avg EBITDA Margin</t>
        </is>
      </c>
      <c r="C19" s="5">
        <f>'Returns Analysis'!C10</f>
        <v/>
      </c>
      <c r="D19" t="inlineStr">
        <is>
          <t>%</t>
        </is>
      </c>
    </row>
  </sheetData>
  <mergeCells count="3">
    <mergeCell ref="A3:F3"/>
    <mergeCell ref="A14:F14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2"/>
  <sheetViews>
    <sheetView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15" customWidth="1" min="3" max="3"/>
    <col width="12" customWidth="1" min="4" max="4"/>
  </cols>
  <sheetData>
    <row r="1">
      <c r="A1" s="7" t="inlineStr">
        <is>
          <t>FINANCIAL MODEL - ASSUMPTIONS &amp; CONTROL PANEL</t>
        </is>
      </c>
    </row>
    <row r="2">
      <c r="A2" s="8" t="inlineStr">
        <is>
          <t>Instructions: ALL BLUE CELLS are inputs. Change these to update the entire model.</t>
        </is>
      </c>
    </row>
    <row r="4">
      <c r="A4" s="9" t="inlineStr">
        <is>
          <t>A. PROJECT TIMELINE &amp; PHASING</t>
        </is>
      </c>
    </row>
    <row r="5">
      <c r="A5" s="10" t="inlineStr">
        <is>
          <t>Model start date</t>
        </is>
      </c>
      <c r="B5" s="10" t="n"/>
      <c r="C5" s="11">
        <f>DATE(2026,1,1)</f>
        <v/>
      </c>
      <c r="D5" s="12" t="inlineStr">
        <is>
          <t>INPUT</t>
        </is>
      </c>
    </row>
    <row r="6">
      <c r="A6" s="10" t="inlineStr">
        <is>
          <t>Model horizon (years)</t>
        </is>
      </c>
      <c r="B6" s="10" t="n"/>
      <c r="C6" s="13" t="n">
        <v>10</v>
      </c>
      <c r="D6" s="12" t="inlineStr">
        <is>
          <t>INPUT</t>
        </is>
      </c>
    </row>
    <row r="7">
      <c r="A7" s="10" t="inlineStr">
        <is>
          <t>Construction period - Phase 1 (months)</t>
        </is>
      </c>
      <c r="B7" s="10" t="n"/>
      <c r="C7" s="13" t="n">
        <v>18</v>
      </c>
      <c r="D7" s="12" t="inlineStr">
        <is>
          <t>INPUT</t>
        </is>
      </c>
    </row>
    <row r="8">
      <c r="A8" s="10" t="inlineStr">
        <is>
          <t>Construction period - Phase 2 (months)</t>
        </is>
      </c>
      <c r="B8" s="10" t="n"/>
      <c r="C8" s="13" t="n">
        <v>24</v>
      </c>
      <c r="D8" s="12" t="inlineStr">
        <is>
          <t>INPUT</t>
        </is>
      </c>
    </row>
    <row r="9">
      <c r="A9" s="10" t="inlineStr">
        <is>
          <t>Construction period - Phase 3 (months)</t>
        </is>
      </c>
      <c r="B9" s="10" t="n"/>
      <c r="C9" s="13" t="n">
        <v>36</v>
      </c>
      <c r="D9" s="12" t="inlineStr">
        <is>
          <t>INPUT</t>
        </is>
      </c>
    </row>
    <row r="10">
      <c r="A10" s="10" t="inlineStr"/>
      <c r="B10" s="10" t="n"/>
      <c r="C10" s="10" t="n"/>
      <c r="D10" s="10" t="n"/>
    </row>
    <row r="11">
      <c r="A11" s="10" t="inlineStr">
        <is>
          <t>Seed operations start date</t>
        </is>
      </c>
      <c r="B11" s="10" t="n"/>
      <c r="C11" s="14">
        <f>DATE(2027,7,1)</f>
        <v/>
      </c>
      <c r="D11" s="14" t="inlineStr">
        <is>
          <t>CALC</t>
        </is>
      </c>
    </row>
    <row r="12">
      <c r="A12" s="10" t="inlineStr">
        <is>
          <t>Processing operations start date</t>
        </is>
      </c>
      <c r="B12" s="10" t="n"/>
      <c r="C12" s="14">
        <f>DATE(2029,1,1)</f>
        <v/>
      </c>
      <c r="D12" s="14" t="inlineStr">
        <is>
          <t>CALC</t>
        </is>
      </c>
    </row>
    <row r="14">
      <c r="A14" s="9" t="inlineStr">
        <is>
          <t>B. PRODUCTION &amp; CAPACITY</t>
        </is>
      </c>
    </row>
    <row r="15">
      <c r="A15" s="15" t="inlineStr">
        <is>
          <t>SEED PRODUCTION</t>
        </is>
      </c>
      <c r="B15" s="10" t="n"/>
      <c r="C15" s="10" t="n"/>
      <c r="D15" s="10" t="n"/>
    </row>
    <row r="16">
      <c r="A16" s="10" t="inlineStr">
        <is>
          <t>G0 seed import (tonnes/year)</t>
        </is>
      </c>
      <c r="B16" s="10" t="n"/>
      <c r="C16" s="13" t="n">
        <v>100</v>
      </c>
      <c r="D16" s="12" t="inlineStr">
        <is>
          <t>INPUT</t>
        </is>
      </c>
    </row>
    <row r="17">
      <c r="A17" s="10" t="inlineStr">
        <is>
          <t>Multiplication ratio (G0→G1)</t>
        </is>
      </c>
      <c r="B17" s="10" t="n"/>
      <c r="C17" s="13" t="n">
        <v>15</v>
      </c>
      <c r="D17" s="12" t="inlineStr">
        <is>
          <t>INPUT</t>
        </is>
      </c>
    </row>
    <row r="18">
      <c r="A18" s="10" t="inlineStr">
        <is>
          <t>G1 seed output (tonnes/year)</t>
        </is>
      </c>
      <c r="B18" s="10" t="n"/>
      <c r="C18" s="14">
        <f>C17-2*C17-1</f>
        <v/>
      </c>
      <c r="D18" s="14" t="inlineStr">
        <is>
          <t>CALC</t>
        </is>
      </c>
    </row>
    <row r="19">
      <c r="A19" s="10" t="inlineStr">
        <is>
          <t>Seed wastage factor (%)</t>
        </is>
      </c>
      <c r="B19" s="10" t="n"/>
      <c r="C19" s="13" t="n">
        <v>5</v>
      </c>
      <c r="D19" s="12" t="inlineStr">
        <is>
          <t>INPUT</t>
        </is>
      </c>
    </row>
    <row r="20">
      <c r="A20" s="10" t="inlineStr"/>
      <c r="B20" s="10" t="n"/>
      <c r="C20" s="10" t="n"/>
      <c r="D20" s="10" t="n"/>
    </row>
    <row r="21">
      <c r="A21" s="15" t="inlineStr">
        <is>
          <t>OUTGROWER NETWORK</t>
        </is>
      </c>
      <c r="B21" s="10" t="n"/>
      <c r="C21" s="10" t="n"/>
      <c r="D21" s="10" t="n"/>
    </row>
    <row r="22">
      <c r="A22" s="10" t="inlineStr">
        <is>
          <t>Target farmers - Year 1</t>
        </is>
      </c>
      <c r="B22" s="10" t="n"/>
      <c r="C22" s="13" t="n">
        <v>100</v>
      </c>
      <c r="D22" s="12" t="inlineStr">
        <is>
          <t>INPUT</t>
        </is>
      </c>
    </row>
    <row r="23">
      <c r="A23" s="10" t="inlineStr">
        <is>
          <t>Target farmers - Year 2</t>
        </is>
      </c>
      <c r="B23" s="10" t="n"/>
      <c r="C23" s="13" t="n">
        <v>375</v>
      </c>
      <c r="D23" s="12" t="inlineStr">
        <is>
          <t>INPUT</t>
        </is>
      </c>
    </row>
    <row r="24">
      <c r="A24" s="10" t="inlineStr">
        <is>
          <t>Target farmers - Year 3+</t>
        </is>
      </c>
      <c r="B24" s="10" t="n"/>
      <c r="C24" s="13" t="n">
        <v>800</v>
      </c>
      <c r="D24" s="12" t="inlineStr">
        <is>
          <t>INPUT</t>
        </is>
      </c>
    </row>
    <row r="25">
      <c r="A25" s="10" t="inlineStr">
        <is>
          <t>Hectares per farmer</t>
        </is>
      </c>
      <c r="B25" s="10" t="n"/>
      <c r="C25" s="13" t="n">
        <v>1</v>
      </c>
      <c r="D25" s="12" t="inlineStr">
        <is>
          <t>INPUT</t>
        </is>
      </c>
    </row>
    <row r="26">
      <c r="A26" s="10" t="inlineStr">
        <is>
          <t>Yield with certified seed (tonnes/ha)</t>
        </is>
      </c>
      <c r="B26" s="10" t="n"/>
      <c r="C26" s="13" t="n">
        <v>25</v>
      </c>
      <c r="D26" s="12" t="inlineStr">
        <is>
          <t>INPUT</t>
        </is>
      </c>
    </row>
    <row r="27">
      <c r="A27" s="10" t="inlineStr">
        <is>
          <t>Yield baseline (tonnes/ha)</t>
        </is>
      </c>
      <c r="B27" s="10" t="n"/>
      <c r="C27" s="13" t="n">
        <v>8</v>
      </c>
      <c r="D27" s="12" t="inlineStr">
        <is>
          <t>INPUT</t>
        </is>
      </c>
    </row>
    <row r="28">
      <c r="A28" s="10" t="inlineStr">
        <is>
          <t>Yield improvement (%)</t>
        </is>
      </c>
      <c r="B28" s="10" t="n"/>
      <c r="C28" s="14">
        <f>(C27-2-C27-1)/C27-1</f>
        <v/>
      </c>
      <c r="D28" s="14" t="inlineStr">
        <is>
          <t>CALC</t>
        </is>
      </c>
    </row>
    <row r="29">
      <c r="A29" s="10" t="inlineStr"/>
      <c r="B29" s="10" t="n"/>
      <c r="C29" s="10" t="n"/>
      <c r="D29" s="10" t="n"/>
    </row>
    <row r="30">
      <c r="A30" s="15" t="inlineStr">
        <is>
          <t>PROCESSING CAPACITY</t>
        </is>
      </c>
      <c r="B30" s="10" t="n"/>
      <c r="C30" s="10" t="n"/>
      <c r="D30" s="10" t="n"/>
    </row>
    <row r="31">
      <c r="A31" s="10" t="inlineStr">
        <is>
          <t>French fry line capacity (tonnes/hour)</t>
        </is>
      </c>
      <c r="B31" s="10" t="n"/>
      <c r="C31" s="13" t="n">
        <v>2</v>
      </c>
      <c r="D31" s="12" t="inlineStr">
        <is>
          <t>INPUT</t>
        </is>
      </c>
    </row>
    <row r="32">
      <c r="A32" s="10" t="inlineStr">
        <is>
          <t>Fresh-pack line capacity (tonnes/hour)</t>
        </is>
      </c>
      <c r="B32" s="10" t="n"/>
      <c r="C32" s="13" t="n">
        <v>15</v>
      </c>
      <c r="D32" s="12" t="inlineStr">
        <is>
          <t>INPUT</t>
        </is>
      </c>
    </row>
    <row r="33">
      <c r="A33" s="10" t="inlineStr">
        <is>
          <t>Operating hours per day</t>
        </is>
      </c>
      <c r="B33" s="10" t="n"/>
      <c r="C33" s="13" t="n">
        <v>8</v>
      </c>
      <c r="D33" s="12" t="inlineStr">
        <is>
          <t>INPUT</t>
        </is>
      </c>
    </row>
    <row r="34">
      <c r="A34" s="10" t="inlineStr">
        <is>
          <t>Operating days per year</t>
        </is>
      </c>
      <c r="B34" s="10" t="n"/>
      <c r="C34" s="13" t="n">
        <v>300</v>
      </c>
      <c r="D34" s="12" t="inlineStr">
        <is>
          <t>INPUT</t>
        </is>
      </c>
    </row>
    <row r="35">
      <c r="A35" s="10" t="inlineStr">
        <is>
          <t>Capacity utilization - Year 1 (%)</t>
        </is>
      </c>
      <c r="B35" s="10" t="n"/>
      <c r="C35" s="13" t="n">
        <v>40</v>
      </c>
      <c r="D35" s="12" t="inlineStr">
        <is>
          <t>INPUT</t>
        </is>
      </c>
    </row>
    <row r="36">
      <c r="A36" s="10" t="inlineStr">
        <is>
          <t>Capacity utilization - Year 2 (%)</t>
        </is>
      </c>
      <c r="B36" s="10" t="n"/>
      <c r="C36" s="13" t="n">
        <v>60</v>
      </c>
      <c r="D36" s="12" t="inlineStr">
        <is>
          <t>INPUT</t>
        </is>
      </c>
    </row>
    <row r="37">
      <c r="A37" s="10" t="inlineStr">
        <is>
          <t>Capacity utilization - Year 3+ (%)</t>
        </is>
      </c>
      <c r="B37" s="10" t="n"/>
      <c r="C37" s="13" t="n">
        <v>80</v>
      </c>
      <c r="D37" s="12" t="inlineStr">
        <is>
          <t>INPUT</t>
        </is>
      </c>
    </row>
    <row r="39">
      <c r="A39" s="9" t="inlineStr">
        <is>
          <t>C. PRICING &amp; REVENUE</t>
        </is>
      </c>
    </row>
    <row r="40">
      <c r="A40" s="15" t="inlineStr">
        <is>
          <t>SEED PRICING</t>
        </is>
      </c>
      <c r="B40" s="10" t="n"/>
      <c r="C40" s="10" t="n"/>
      <c r="D40" s="10" t="n"/>
    </row>
    <row r="41">
      <c r="A41" s="10" t="inlineStr">
        <is>
          <t>G1 certified seed price (XAF/kg)</t>
        </is>
      </c>
      <c r="B41" s="10" t="n"/>
      <c r="C41" s="13" t="n">
        <v>800</v>
      </c>
      <c r="D41" s="12" t="inlineStr">
        <is>
          <t>INPUT</t>
        </is>
      </c>
    </row>
    <row r="42">
      <c r="A42" s="10" t="inlineStr">
        <is>
          <t>Seed price escalation (%/year)</t>
        </is>
      </c>
      <c r="B42" s="10" t="n"/>
      <c r="C42" s="13" t="n">
        <v>3</v>
      </c>
      <c r="D42" s="12" t="inlineStr">
        <is>
          <t>INPUT</t>
        </is>
      </c>
    </row>
    <row r="43">
      <c r="A43" s="10" t="inlineStr"/>
      <c r="B43" s="10" t="n"/>
      <c r="C43" s="10" t="n"/>
      <c r="D43" s="10" t="n"/>
    </row>
    <row r="44">
      <c r="A44" s="15" t="inlineStr">
        <is>
          <t>WARE POTATO PRICING</t>
        </is>
      </c>
      <c r="B44" s="10" t="n"/>
      <c r="C44" s="10" t="n"/>
      <c r="D44" s="10" t="n"/>
    </row>
    <row r="45">
      <c r="A45" s="10" t="inlineStr">
        <is>
          <t>Farmgate price - processing grade (XAF/kg)</t>
        </is>
      </c>
      <c r="B45" s="10" t="n"/>
      <c r="C45" s="13" t="n">
        <v>200</v>
      </c>
      <c r="D45" s="12" t="inlineStr">
        <is>
          <t>INPUT</t>
        </is>
      </c>
    </row>
    <row r="46">
      <c r="A46" s="10" t="inlineStr">
        <is>
          <t>Farmgate price - table stock (XAF/kg)</t>
        </is>
      </c>
      <c r="B46" s="10" t="n"/>
      <c r="C46" s="13" t="n">
        <v>250</v>
      </c>
      <c r="D46" s="12" t="inlineStr">
        <is>
          <t>INPUT</t>
        </is>
      </c>
    </row>
    <row r="47">
      <c r="A47" s="10" t="inlineStr">
        <is>
          <t>Fresh-pack retail price (XAF/kg)</t>
        </is>
      </c>
      <c r="B47" s="10" t="n"/>
      <c r="C47" s="13" t="n">
        <v>400</v>
      </c>
      <c r="D47" s="12" t="inlineStr">
        <is>
          <t>INPUT</t>
        </is>
      </c>
    </row>
    <row r="48">
      <c r="A48" s="10" t="inlineStr">
        <is>
          <t>Price escalation (%/year)</t>
        </is>
      </c>
      <c r="B48" s="10" t="n"/>
      <c r="C48" s="13" t="n">
        <v>2</v>
      </c>
      <c r="D48" s="12" t="inlineStr">
        <is>
          <t>INPUT</t>
        </is>
      </c>
    </row>
    <row r="49">
      <c r="A49" s="10" t="inlineStr"/>
      <c r="B49" s="10" t="n"/>
      <c r="C49" s="10" t="n"/>
      <c r="D49" s="10" t="n"/>
    </row>
    <row r="50">
      <c r="A50" s="15" t="inlineStr">
        <is>
          <t>PROCESSED PRODUCTS</t>
        </is>
      </c>
      <c r="B50" s="10" t="n"/>
      <c r="C50" s="10" t="n"/>
      <c r="D50" s="10" t="n"/>
    </row>
    <row r="51">
      <c r="A51" s="10" t="inlineStr">
        <is>
          <t>Frozen french fries price (XAF/kg)</t>
        </is>
      </c>
      <c r="B51" s="10" t="n"/>
      <c r="C51" s="13" t="n">
        <v>1200</v>
      </c>
      <c r="D51" s="12" t="inlineStr">
        <is>
          <t>INPUT</t>
        </is>
      </c>
    </row>
    <row r="52">
      <c r="A52" s="10" t="inlineStr">
        <is>
          <t>Animal feed price (XAF/kg)</t>
        </is>
      </c>
      <c r="B52" s="10" t="n"/>
      <c r="C52" s="13" t="n">
        <v>150</v>
      </c>
      <c r="D52" s="12" t="inlineStr">
        <is>
          <t>INPUT</t>
        </is>
      </c>
    </row>
    <row r="53">
      <c r="A53" s="10" t="inlineStr">
        <is>
          <t>Fry conversion rate (%)</t>
        </is>
      </c>
      <c r="B53" s="10" t="n"/>
      <c r="C53" s="13" t="n">
        <v>62.5</v>
      </c>
      <c r="D53" s="12" t="inlineStr">
        <is>
          <t>INPUT</t>
        </is>
      </c>
    </row>
    <row r="54">
      <c r="A54" s="10" t="inlineStr">
        <is>
          <t>Feed by-product rate (%)</t>
        </is>
      </c>
      <c r="B54" s="10" t="n"/>
      <c r="C54" s="13" t="n">
        <v>80</v>
      </c>
      <c r="D54" s="12" t="inlineStr">
        <is>
          <t>INPUT</t>
        </is>
      </c>
    </row>
    <row r="55">
      <c r="A55" s="10" t="inlineStr">
        <is>
          <t>Product mix - French fries (%)</t>
        </is>
      </c>
      <c r="B55" s="10" t="n"/>
      <c r="C55" s="13" t="n">
        <v>70</v>
      </c>
      <c r="D55" s="12" t="inlineStr">
        <is>
          <t>INPUT</t>
        </is>
      </c>
    </row>
    <row r="56">
      <c r="A56" s="10" t="inlineStr">
        <is>
          <t>Product mix - Fresh pack (%)</t>
        </is>
      </c>
      <c r="B56" s="10" t="n"/>
      <c r="C56" s="13" t="n">
        <v>30</v>
      </c>
      <c r="D56" s="12" t="inlineStr">
        <is>
          <t>INPUT</t>
        </is>
      </c>
    </row>
    <row r="58">
      <c r="A58" s="9" t="inlineStr">
        <is>
          <t>D. OPERATING COSTS</t>
        </is>
      </c>
    </row>
    <row r="59">
      <c r="A59" s="15" t="inlineStr">
        <is>
          <t>SEED PRODUCTION COSTS</t>
        </is>
      </c>
      <c r="B59" s="10" t="n"/>
      <c r="C59" s="10" t="n"/>
      <c r="D59" s="10" t="n"/>
    </row>
    <row r="60">
      <c r="A60" s="10" t="inlineStr">
        <is>
          <t>G0 import cost (XAF/kg)</t>
        </is>
      </c>
      <c r="B60" s="10" t="n"/>
      <c r="C60" s="13" t="n">
        <v>2500</v>
      </c>
      <c r="D60" s="12" t="inlineStr">
        <is>
          <t>INPUT</t>
        </is>
      </c>
    </row>
    <row r="61">
      <c r="A61" s="10" t="inlineStr">
        <is>
          <t>Multiplication cost per kg output (XAF/kg)</t>
        </is>
      </c>
      <c r="B61" s="10" t="n"/>
      <c r="C61" s="13" t="n">
        <v>150</v>
      </c>
      <c r="D61" s="12" t="inlineStr">
        <is>
          <t>INPUT</t>
        </is>
      </c>
    </row>
    <row r="62">
      <c r="A62" s="10" t="inlineStr">
        <is>
          <t>Seed storage cost (XAF/kg/month)</t>
        </is>
      </c>
      <c r="B62" s="10" t="n"/>
      <c r="C62" s="13" t="n">
        <v>10</v>
      </c>
      <c r="D62" s="12" t="inlineStr">
        <is>
          <t>INPUT</t>
        </is>
      </c>
    </row>
    <row r="63">
      <c r="A63" s="10" t="inlineStr"/>
      <c r="B63" s="10" t="n"/>
      <c r="C63" s="10" t="n"/>
      <c r="D63" s="10" t="n"/>
    </row>
    <row r="64">
      <c r="A64" s="15" t="inlineStr">
        <is>
          <t>OUTGROWER SUPPORT</t>
        </is>
      </c>
      <c r="B64" s="10" t="n"/>
      <c r="C64" s="10" t="n"/>
      <c r="D64" s="10" t="n"/>
    </row>
    <row r="65">
      <c r="A65" s="10" t="inlineStr">
        <is>
          <t>Input package cost per farmer (XAF)</t>
        </is>
      </c>
      <c r="B65" s="10" t="n"/>
      <c r="C65" s="13" t="n">
        <v>500000</v>
      </c>
      <c r="D65" s="12" t="inlineStr">
        <is>
          <t>INPUT</t>
        </is>
      </c>
    </row>
    <row r="66">
      <c r="A66" s="10" t="inlineStr">
        <is>
          <t>Extension cost per farmer (XAF)</t>
        </is>
      </c>
      <c r="B66" s="10" t="n"/>
      <c r="C66" s="13" t="n">
        <v>50000</v>
      </c>
      <c r="D66" s="12" t="inlineStr">
        <is>
          <t>INPUT</t>
        </is>
      </c>
    </row>
    <row r="67">
      <c r="A67" s="10" t="inlineStr">
        <is>
          <t>Farmer payment terms (days)</t>
        </is>
      </c>
      <c r="B67" s="10" t="n"/>
      <c r="C67" s="13" t="n">
        <v>0</v>
      </c>
      <c r="D67" s="12" t="inlineStr">
        <is>
          <t>INPUT</t>
        </is>
      </c>
    </row>
    <row r="68">
      <c r="A68" s="10" t="inlineStr"/>
      <c r="B68" s="10" t="n"/>
      <c r="C68" s="10" t="n"/>
      <c r="D68" s="10" t="n"/>
    </row>
    <row r="69">
      <c r="A69" s="15" t="inlineStr">
        <is>
          <t>PROCESSING COSTS (per kg output)</t>
        </is>
      </c>
      <c r="B69" s="10" t="n"/>
      <c r="C69" s="10" t="n"/>
      <c r="D69" s="10" t="n"/>
    </row>
    <row r="70">
      <c r="A70" s="10" t="inlineStr">
        <is>
          <t>Direct labor (XAF/kg)</t>
        </is>
      </c>
      <c r="B70" s="10" t="n"/>
      <c r="C70" s="13" t="n">
        <v>50</v>
      </c>
      <c r="D70" s="12" t="inlineStr">
        <is>
          <t>INPUT</t>
        </is>
      </c>
    </row>
    <row r="71">
      <c r="A71" s="10" t="inlineStr">
        <is>
          <t>Utilities - electricity (XAF/kg)</t>
        </is>
      </c>
      <c r="B71" s="10" t="n"/>
      <c r="C71" s="13" t="n">
        <v>20</v>
      </c>
      <c r="D71" s="12" t="inlineStr">
        <is>
          <t>INPUT</t>
        </is>
      </c>
    </row>
    <row r="72">
      <c r="A72" s="10" t="inlineStr">
        <is>
          <t>Utilities - water (XAF/kg)</t>
        </is>
      </c>
      <c r="B72" s="10" t="n"/>
      <c r="C72" s="13" t="n">
        <v>10</v>
      </c>
      <c r="D72" s="12" t="inlineStr">
        <is>
          <t>INPUT</t>
        </is>
      </c>
    </row>
    <row r="73">
      <c r="A73" s="10" t="inlineStr">
        <is>
          <t>Packaging materials (XAF/kg)</t>
        </is>
      </c>
      <c r="B73" s="10" t="n"/>
      <c r="C73" s="13" t="n">
        <v>80</v>
      </c>
      <c r="D73" s="12" t="inlineStr">
        <is>
          <t>INPUT</t>
        </is>
      </c>
    </row>
    <row r="74">
      <c r="A74" s="10" t="inlineStr">
        <is>
          <t>Quality control &amp; lab (XAF/kg)</t>
        </is>
      </c>
      <c r="B74" s="10" t="n"/>
      <c r="C74" s="13" t="n">
        <v>5</v>
      </c>
      <c r="D74" s="12" t="inlineStr">
        <is>
          <t>INPUT</t>
        </is>
      </c>
    </row>
    <row r="75">
      <c r="A75" s="10" t="inlineStr">
        <is>
          <t>Maintenance (% of processing CAPEX/year)</t>
        </is>
      </c>
      <c r="B75" s="10" t="n"/>
      <c r="C75" s="13" t="n">
        <v>3</v>
      </c>
      <c r="D75" s="12" t="inlineStr">
        <is>
          <t>INPUT</t>
        </is>
      </c>
    </row>
    <row r="76">
      <c r="A76" s="10" t="inlineStr"/>
      <c r="B76" s="10" t="n"/>
      <c r="C76" s="10" t="n"/>
      <c r="D76" s="10" t="n"/>
    </row>
    <row r="77">
      <c r="A77" s="15" t="inlineStr">
        <is>
          <t>OVERHEAD &amp; ADMINISTRATION</t>
        </is>
      </c>
      <c r="B77" s="10" t="n"/>
      <c r="C77" s="10" t="n"/>
      <c r="D77" s="10" t="n"/>
    </row>
    <row r="78">
      <c r="A78" s="10" t="inlineStr">
        <is>
          <t>Management salaries (XAF/month)</t>
        </is>
      </c>
      <c r="B78" s="10" t="n"/>
      <c r="C78" s="13" t="n">
        <v>15000000</v>
      </c>
      <c r="D78" s="12" t="inlineStr">
        <is>
          <t>INPUT</t>
        </is>
      </c>
    </row>
    <row r="79">
      <c r="A79" s="10" t="inlineStr">
        <is>
          <t>Administrative staff (XAF/month)</t>
        </is>
      </c>
      <c r="B79" s="10" t="n"/>
      <c r="C79" s="13" t="n">
        <v>3000000</v>
      </c>
      <c r="D79" s="12" t="inlineStr">
        <is>
          <t>INPUT</t>
        </is>
      </c>
    </row>
    <row r="80">
      <c r="A80" s="10" t="inlineStr">
        <is>
          <t>Office &amp; utilities (XAF/month)</t>
        </is>
      </c>
      <c r="B80" s="10" t="n"/>
      <c r="C80" s="13" t="n">
        <v>1500000</v>
      </c>
      <c r="D80" s="12" t="inlineStr">
        <is>
          <t>INPUT</t>
        </is>
      </c>
    </row>
    <row r="81">
      <c r="A81" s="10" t="inlineStr">
        <is>
          <t>Insurance (% of total assets/year)</t>
        </is>
      </c>
      <c r="B81" s="10" t="n"/>
      <c r="C81" s="13" t="n">
        <v>1.5</v>
      </c>
      <c r="D81" s="12" t="inlineStr">
        <is>
          <t>INPUT</t>
        </is>
      </c>
    </row>
    <row r="82">
      <c r="A82" s="10" t="inlineStr">
        <is>
          <t>Professional services (XAF/year)</t>
        </is>
      </c>
      <c r="B82" s="10" t="n"/>
      <c r="C82" s="13" t="n">
        <v>10000000</v>
      </c>
      <c r="D82" s="12" t="inlineStr">
        <is>
          <t>INPUT</t>
        </is>
      </c>
    </row>
    <row r="83">
      <c r="A83" s="10" t="inlineStr"/>
      <c r="B83" s="10" t="n"/>
      <c r="C83" s="10" t="n"/>
      <c r="D83" s="10" t="n"/>
    </row>
    <row r="84">
      <c r="A84" s="15" t="inlineStr">
        <is>
          <t>LOGISTICS &amp; DISTRIBUTION</t>
        </is>
      </c>
      <c r="B84" s="10" t="n"/>
      <c r="C84" s="10" t="n"/>
      <c r="D84" s="10" t="n"/>
    </row>
    <row r="85">
      <c r="A85" s="10" t="inlineStr">
        <is>
          <t>Transport cost per tonne-km (XAF)</t>
        </is>
      </c>
      <c r="B85" s="10" t="n"/>
      <c r="C85" s="13" t="n">
        <v>50</v>
      </c>
      <c r="D85" s="12" t="inlineStr">
        <is>
          <t>INPUT</t>
        </is>
      </c>
    </row>
    <row r="86">
      <c r="A86" s="10" t="inlineStr">
        <is>
          <t>Average distribution distance (km)</t>
        </is>
      </c>
      <c r="B86" s="10" t="n"/>
      <c r="C86" s="13" t="n">
        <v>300</v>
      </c>
      <c r="D86" s="12" t="inlineStr">
        <is>
          <t>INPUT</t>
        </is>
      </c>
    </row>
    <row r="87">
      <c r="A87" s="10" t="inlineStr">
        <is>
          <t>Cold storage cost (XAF/tonne/month)</t>
        </is>
      </c>
      <c r="B87" s="10" t="n"/>
      <c r="C87" s="13" t="n">
        <v>25000</v>
      </c>
      <c r="D87" s="12" t="inlineStr">
        <is>
          <t>INPUT</t>
        </is>
      </c>
    </row>
    <row r="88">
      <c r="A88" s="10" t="inlineStr"/>
      <c r="B88" s="10" t="n"/>
      <c r="C88" s="10" t="n"/>
      <c r="D88" s="10" t="n"/>
    </row>
    <row r="89">
      <c r="A89" s="15" t="inlineStr">
        <is>
          <t>COST ESCALATION</t>
        </is>
      </c>
      <c r="B89" s="10" t="n"/>
      <c r="C89" s="10" t="n"/>
      <c r="D89" s="10" t="n"/>
    </row>
    <row r="90">
      <c r="A90" s="10" t="inlineStr">
        <is>
          <t>General cost inflation (%/year)</t>
        </is>
      </c>
      <c r="B90" s="10" t="n"/>
      <c r="C90" s="13" t="n">
        <v>3</v>
      </c>
      <c r="D90" s="12" t="inlineStr">
        <is>
          <t>INPUT</t>
        </is>
      </c>
    </row>
    <row r="92">
      <c r="A92" s="9" t="inlineStr">
        <is>
          <t>E. CAPITAL EXPENDITURE (XAF)</t>
        </is>
      </c>
    </row>
    <row r="93">
      <c r="A93" s="15" t="inlineStr">
        <is>
          <t>PHASE 1: SEED MULTIPLICATION</t>
        </is>
      </c>
      <c r="B93" s="10" t="n"/>
      <c r="C93" s="10" t="n"/>
      <c r="D93" s="10" t="n"/>
    </row>
    <row r="94">
      <c r="A94" s="10" t="inlineStr">
        <is>
          <t>Aeroponic EGS facility</t>
        </is>
      </c>
      <c r="B94" s="10" t="n"/>
      <c r="C94" s="13" t="n">
        <v>600000000</v>
      </c>
      <c r="D94" s="12" t="inlineStr">
        <is>
          <t>INPUT</t>
        </is>
      </c>
    </row>
    <row r="95">
      <c r="A95" s="10" t="inlineStr">
        <is>
          <t>Seed cold storage (500T)</t>
        </is>
      </c>
      <c r="B95" s="10" t="n"/>
      <c r="C95" s="13" t="n">
        <v>300000000</v>
      </c>
      <c r="D95" s="12" t="inlineStr">
        <is>
          <t>INPUT</t>
        </is>
      </c>
    </row>
    <row r="96">
      <c r="A96" s="10" t="inlineStr">
        <is>
          <t>Nucleus farm equipment</t>
        </is>
      </c>
      <c r="B96" s="10" t="n"/>
      <c r="C96" s="13" t="n">
        <v>200000000</v>
      </c>
      <c r="D96" s="12" t="inlineStr">
        <is>
          <t>INPUT</t>
        </is>
      </c>
    </row>
    <row r="97">
      <c r="A97" s="10" t="inlineStr">
        <is>
          <t>Greenhouse structures</t>
        </is>
      </c>
      <c r="B97" s="10" t="n"/>
      <c r="C97" s="13" t="n">
        <v>150000000</v>
      </c>
      <c r="D97" s="12" t="inlineStr">
        <is>
          <t>INPUT</t>
        </is>
      </c>
    </row>
    <row r="98">
      <c r="A98" s="10" t="inlineStr">
        <is>
          <t>Phase 1 contingency (%)</t>
        </is>
      </c>
      <c r="B98" s="10" t="n"/>
      <c r="C98" s="13" t="n">
        <v>10</v>
      </c>
      <c r="D98" s="12" t="inlineStr">
        <is>
          <t>INPUT</t>
        </is>
      </c>
    </row>
    <row r="99">
      <c r="A99" s="10" t="inlineStr">
        <is>
          <t>Phase 1 Total</t>
        </is>
      </c>
      <c r="B99" s="10" t="n"/>
      <c r="C99" s="14">
        <f>SUM(C98-5:C98-2)*(1+C98-1/100)</f>
        <v/>
      </c>
      <c r="D99" s="14" t="inlineStr">
        <is>
          <t>CALC</t>
        </is>
      </c>
    </row>
    <row r="100">
      <c r="A100" s="10" t="inlineStr"/>
      <c r="B100" s="10" t="n"/>
      <c r="C100" s="10" t="n"/>
      <c r="D100" s="10" t="n"/>
    </row>
    <row r="101">
      <c r="A101" s="15" t="inlineStr">
        <is>
          <t>PHASE 2: OUTGROWER NETWORK</t>
        </is>
      </c>
      <c r="B101" s="10" t="n"/>
      <c r="C101" s="10" t="n"/>
      <c r="D101" s="10" t="n"/>
    </row>
    <row r="102">
      <c r="A102" s="10" t="inlineStr">
        <is>
          <t>Training center &amp; demo farm</t>
        </is>
      </c>
      <c r="B102" s="10" t="n"/>
      <c r="C102" s="13" t="n">
        <v>150000000</v>
      </c>
      <c r="D102" s="12" t="inlineStr">
        <is>
          <t>INPUT</t>
        </is>
      </c>
    </row>
    <row r="103">
      <c r="A103" s="10" t="inlineStr">
        <is>
          <t>Field equipment &amp; tools</t>
        </is>
      </c>
      <c r="B103" s="10" t="n"/>
      <c r="C103" s="13" t="n">
        <v>250000000</v>
      </c>
      <c r="D103" s="12" t="inlineStr">
        <is>
          <t>INPUT</t>
        </is>
      </c>
    </row>
    <row r="104">
      <c r="A104" s="10" t="inlineStr">
        <is>
          <t>Input supply warehouse</t>
        </is>
      </c>
      <c r="B104" s="10" t="n"/>
      <c r="C104" s="13" t="n">
        <v>100000000</v>
      </c>
      <c r="D104" s="12" t="inlineStr">
        <is>
          <t>INPUT</t>
        </is>
      </c>
    </row>
    <row r="105">
      <c r="A105" s="10" t="inlineStr">
        <is>
          <t>Working capital facility</t>
        </is>
      </c>
      <c r="B105" s="10" t="n"/>
      <c r="C105" s="13" t="n">
        <v>500000000</v>
      </c>
      <c r="D105" s="12" t="inlineStr">
        <is>
          <t>INPUT</t>
        </is>
      </c>
    </row>
    <row r="106">
      <c r="A106" s="10" t="inlineStr">
        <is>
          <t>Phase 2 contingency (%)</t>
        </is>
      </c>
      <c r="B106" s="10" t="n"/>
      <c r="C106" s="13" t="n">
        <v>10</v>
      </c>
      <c r="D106" s="12" t="inlineStr">
        <is>
          <t>INPUT</t>
        </is>
      </c>
    </row>
    <row r="107">
      <c r="A107" s="10" t="inlineStr">
        <is>
          <t>Phase 2 Total</t>
        </is>
      </c>
      <c r="B107" s="10" t="n"/>
      <c r="C107" s="14">
        <f>SUM(C106-5:C106-2)*(1+C106-1/100)</f>
        <v/>
      </c>
      <c r="D107" s="14" t="inlineStr">
        <is>
          <t>CALC</t>
        </is>
      </c>
    </row>
    <row r="108">
      <c r="A108" s="10" t="inlineStr"/>
      <c r="B108" s="10" t="n"/>
      <c r="C108" s="10" t="n"/>
      <c r="D108" s="10" t="n"/>
    </row>
    <row r="109">
      <c r="A109" s="15" t="inlineStr">
        <is>
          <t>PHASE 3: PROCESSING FACILITY</t>
        </is>
      </c>
      <c r="B109" s="10" t="n"/>
      <c r="C109" s="10" t="n"/>
      <c r="D109" s="10" t="n"/>
    </row>
    <row r="110">
      <c r="A110" s="10" t="inlineStr">
        <is>
          <t>French fry line (Baixin)</t>
        </is>
      </c>
      <c r="B110" s="10" t="n"/>
      <c r="C110" s="13" t="n">
        <v>5000000000</v>
      </c>
      <c r="D110" s="12" t="inlineStr">
        <is>
          <t>INPUT</t>
        </is>
      </c>
    </row>
    <row r="111">
      <c r="A111" s="10" t="inlineStr">
        <is>
          <t>Fresh-pack line (Manter)</t>
        </is>
      </c>
      <c r="B111" s="10" t="n"/>
      <c r="C111" s="13" t="n">
        <v>2000000000</v>
      </c>
      <c r="D111" s="12" t="inlineStr">
        <is>
          <t>INPUT</t>
        </is>
      </c>
    </row>
    <row r="112">
      <c r="A112" s="10" t="inlineStr">
        <is>
          <t>CA storage facility (10,000T)</t>
        </is>
      </c>
      <c r="B112" s="10" t="n"/>
      <c r="C112" s="13" t="n">
        <v>3000000000</v>
      </c>
      <c r="D112" s="12" t="inlineStr">
        <is>
          <t>INPUT</t>
        </is>
      </c>
    </row>
    <row r="113">
      <c r="A113" s="10" t="inlineStr">
        <is>
          <t>Factory building &amp; civil works</t>
        </is>
      </c>
      <c r="B113" s="10" t="n"/>
      <c r="C113" s="13" t="n">
        <v>2000000000</v>
      </c>
      <c r="D113" s="12" t="inlineStr">
        <is>
          <t>INPUT</t>
        </is>
      </c>
    </row>
    <row r="114">
      <c r="A114" s="10" t="inlineStr">
        <is>
          <t>Utilities infrastructure</t>
        </is>
      </c>
      <c r="B114" s="10" t="n"/>
      <c r="C114" s="13" t="n">
        <v>500000000</v>
      </c>
      <c r="D114" s="12" t="inlineStr">
        <is>
          <t>INPUT</t>
        </is>
      </c>
    </row>
    <row r="115">
      <c r="A115" s="10" t="inlineStr">
        <is>
          <t>Effluent treatment plant</t>
        </is>
      </c>
      <c r="B115" s="10" t="n"/>
      <c r="C115" s="13" t="n">
        <v>300000000</v>
      </c>
      <c r="D115" s="12" t="inlineStr">
        <is>
          <t>INPUT</t>
        </is>
      </c>
    </row>
    <row r="116">
      <c r="A116" s="10" t="inlineStr">
        <is>
          <t>Phase 3 contingency (%)</t>
        </is>
      </c>
      <c r="B116" s="10" t="n"/>
      <c r="C116" s="13" t="n">
        <v>15</v>
      </c>
      <c r="D116" s="12" t="inlineStr">
        <is>
          <t>INPUT</t>
        </is>
      </c>
    </row>
    <row r="117">
      <c r="A117" s="10" t="inlineStr">
        <is>
          <t>Phase 3 Total</t>
        </is>
      </c>
      <c r="B117" s="10" t="n"/>
      <c r="C117" s="14">
        <f>SUM(C117-7:C117-2)*(1+C117-1/100)</f>
        <v/>
      </c>
      <c r="D117" s="14" t="inlineStr">
        <is>
          <t>CALC</t>
        </is>
      </c>
    </row>
    <row r="118">
      <c r="A118" s="10" t="inlineStr"/>
      <c r="B118" s="10" t="n"/>
      <c r="C118" s="10" t="n"/>
      <c r="D118" s="10" t="n"/>
    </row>
    <row r="119">
      <c r="A119" s="15" t="inlineStr">
        <is>
          <t>PHASE 4: LOGISTICS &amp; DISTRIBUTION</t>
        </is>
      </c>
      <c r="B119" s="10" t="n"/>
      <c r="C119" s="10" t="n"/>
      <c r="D119" s="10" t="n"/>
    </row>
    <row r="120">
      <c r="A120" s="10" t="inlineStr">
        <is>
          <t>Reefer trucks (number)</t>
        </is>
      </c>
      <c r="B120" s="10" t="n"/>
      <c r="C120" s="13" t="n">
        <v>5</v>
      </c>
      <c r="D120" s="12" t="inlineStr">
        <is>
          <t>INPUT</t>
        </is>
      </c>
    </row>
    <row r="121">
      <c r="A121" s="10" t="inlineStr">
        <is>
          <t>Cost per reefer truck (XAF)</t>
        </is>
      </c>
      <c r="B121" s="10" t="n"/>
      <c r="C121" s="13" t="n">
        <v>150000000</v>
      </c>
      <c r="D121" s="12" t="inlineStr">
        <is>
          <t>INPUT</t>
        </is>
      </c>
    </row>
    <row r="122">
      <c r="A122" s="10" t="inlineStr">
        <is>
          <t>Delivery vans (number)</t>
        </is>
      </c>
      <c r="B122" s="10" t="n"/>
      <c r="C122" s="13" t="n">
        <v>10</v>
      </c>
      <c r="D122" s="12" t="inlineStr">
        <is>
          <t>INPUT</t>
        </is>
      </c>
    </row>
    <row r="123">
      <c r="A123" s="10" t="inlineStr">
        <is>
          <t>Cost per van (XAF)</t>
        </is>
      </c>
      <c r="B123" s="10" t="n"/>
      <c r="C123" s="13" t="n">
        <v>25000000</v>
      </c>
      <c r="D123" s="12" t="inlineStr">
        <is>
          <t>INPUT</t>
        </is>
      </c>
    </row>
    <row r="124">
      <c r="A124" s="10" t="inlineStr">
        <is>
          <t>Regional cold storage depots</t>
        </is>
      </c>
      <c r="B124" s="10" t="n"/>
      <c r="C124" s="13" t="n">
        <v>400000000</v>
      </c>
      <c r="D124" s="12" t="inlineStr">
        <is>
          <t>INPUT</t>
        </is>
      </c>
    </row>
    <row r="125">
      <c r="A125" s="10" t="inlineStr">
        <is>
          <t>Phase 4 contingency (%)</t>
        </is>
      </c>
      <c r="B125" s="10" t="n"/>
      <c r="C125" s="13" t="n">
        <v>10</v>
      </c>
      <c r="D125" s="12" t="inlineStr">
        <is>
          <t>INPUT</t>
        </is>
      </c>
    </row>
    <row r="126">
      <c r="A126" s="10" t="inlineStr">
        <is>
          <t>Phase 4 Total</t>
        </is>
      </c>
      <c r="B126" s="10" t="n"/>
      <c r="C126" s="14">
        <f>(C124-6*C124-5+C124-4*C124-3+C124-2)*(1+C124-1/100)</f>
        <v/>
      </c>
      <c r="D126" s="14" t="inlineStr">
        <is>
          <t>CALC</t>
        </is>
      </c>
    </row>
    <row r="127">
      <c r="A127" s="10" t="inlineStr"/>
      <c r="B127" s="10" t="n"/>
      <c r="C127" s="10" t="n"/>
      <c r="D127" s="10" t="n"/>
    </row>
    <row r="128">
      <c r="A128" s="15" t="inlineStr">
        <is>
          <t>PHASE 5: CIRCULAR ECONOMY</t>
        </is>
      </c>
      <c r="B128" s="10" t="n"/>
      <c r="C128" s="10" t="n"/>
      <c r="D128" s="10" t="n"/>
    </row>
    <row r="129">
      <c r="A129" s="10" t="inlineStr">
        <is>
          <t>Feed pelletizer line</t>
        </is>
      </c>
      <c r="B129" s="10" t="n"/>
      <c r="C129" s="13" t="n">
        <v>200000000</v>
      </c>
      <c r="D129" s="12" t="inlineStr">
        <is>
          <t>INPUT</t>
        </is>
      </c>
    </row>
    <row r="130">
      <c r="A130" s="10" t="inlineStr">
        <is>
          <t>Water recycling system</t>
        </is>
      </c>
      <c r="B130" s="10" t="n"/>
      <c r="C130" s="13" t="n">
        <v>150000000</v>
      </c>
      <c r="D130" s="12" t="inlineStr">
        <is>
          <t>INPUT</t>
        </is>
      </c>
    </row>
    <row r="131">
      <c r="A131" s="10" t="inlineStr">
        <is>
          <t>Biogas digester</t>
        </is>
      </c>
      <c r="B131" s="10" t="n"/>
      <c r="C131" s="13" t="n">
        <v>100000000</v>
      </c>
      <c r="D131" s="12" t="inlineStr">
        <is>
          <t>INPUT</t>
        </is>
      </c>
    </row>
    <row r="132">
      <c r="A132" s="10" t="inlineStr">
        <is>
          <t>Phase 5 contingency (%)</t>
        </is>
      </c>
      <c r="B132" s="10" t="n"/>
      <c r="C132" s="13" t="n">
        <v>10</v>
      </c>
      <c r="D132" s="12" t="inlineStr">
        <is>
          <t>INPUT</t>
        </is>
      </c>
    </row>
    <row r="133">
      <c r="A133" s="10" t="inlineStr">
        <is>
          <t>Phase 5 Total</t>
        </is>
      </c>
      <c r="B133" s="10" t="n"/>
      <c r="C133" s="14">
        <f>SUM(C135-4:C135-2)*(1+C135-1/100)</f>
        <v/>
      </c>
      <c r="D133" s="14" t="inlineStr">
        <is>
          <t>CALC</t>
        </is>
      </c>
    </row>
    <row r="134">
      <c r="A134" s="10" t="inlineStr"/>
      <c r="B134" s="10" t="n"/>
      <c r="C134" s="10" t="n"/>
      <c r="D134" s="10" t="n"/>
    </row>
    <row r="135">
      <c r="A135" s="10" t="inlineStr">
        <is>
          <t>TOTAL PROJECT CAPEX</t>
        </is>
      </c>
      <c r="B135" s="10" t="n"/>
      <c r="C135" s="14">
        <f>C138-37+C138-23+C138-10+C138-5+C138-0</f>
        <v/>
      </c>
      <c r="D135" s="14" t="inlineStr">
        <is>
          <t>CALC</t>
        </is>
      </c>
    </row>
    <row r="137">
      <c r="A137" s="9" t="inlineStr">
        <is>
          <t>F. DEPRECIATION</t>
        </is>
      </c>
    </row>
    <row r="138">
      <c r="A138" s="10" t="inlineStr">
        <is>
          <t>Buildings useful life (years)</t>
        </is>
      </c>
      <c r="B138" s="10" t="n"/>
      <c r="C138" s="13" t="n">
        <v>30</v>
      </c>
      <c r="D138" s="12" t="inlineStr">
        <is>
          <t>INPUT</t>
        </is>
      </c>
    </row>
    <row r="139">
      <c r="A139" s="10" t="inlineStr">
        <is>
          <t>Heavy machinery useful life (years)</t>
        </is>
      </c>
      <c r="B139" s="10" t="n"/>
      <c r="C139" s="13" t="n">
        <v>10</v>
      </c>
      <c r="D139" s="12" t="inlineStr">
        <is>
          <t>INPUT</t>
        </is>
      </c>
    </row>
    <row r="140">
      <c r="A140" s="10" t="inlineStr">
        <is>
          <t>Light equipment useful life (years)</t>
        </is>
      </c>
      <c r="B140" s="10" t="n"/>
      <c r="C140" s="13" t="n">
        <v>7</v>
      </c>
      <c r="D140" s="12" t="inlineStr">
        <is>
          <t>INPUT</t>
        </is>
      </c>
    </row>
    <row r="141">
      <c r="A141" s="10" t="inlineStr">
        <is>
          <t>Vehicles useful life (years)</t>
        </is>
      </c>
      <c r="B141" s="10" t="n"/>
      <c r="C141" s="13" t="n">
        <v>5</v>
      </c>
      <c r="D141" s="12" t="inlineStr">
        <is>
          <t>INPUT</t>
        </is>
      </c>
    </row>
    <row r="142">
      <c r="A142" s="10" t="inlineStr">
        <is>
          <t>Residual value (% of cost)</t>
        </is>
      </c>
      <c r="B142" s="10" t="n"/>
      <c r="C142" s="13" t="n">
        <v>5</v>
      </c>
      <c r="D142" s="12" t="inlineStr">
        <is>
          <t>INPUT</t>
        </is>
      </c>
    </row>
    <row r="143">
      <c r="A143" s="10" t="inlineStr">
        <is>
          <t>Depreciation method</t>
        </is>
      </c>
      <c r="B143" s="10" t="n"/>
      <c r="C143" s="13" t="inlineStr">
        <is>
          <t>Straight-line</t>
        </is>
      </c>
      <c r="D143" s="12" t="inlineStr">
        <is>
          <t>INPUT</t>
        </is>
      </c>
    </row>
    <row r="144">
      <c r="A144" s="10" t="inlineStr"/>
      <c r="B144" s="10" t="n"/>
      <c r="C144" s="10" t="n"/>
      <c r="D144" s="10" t="n"/>
    </row>
    <row r="145">
      <c r="A145" s="15" t="inlineStr">
        <is>
          <t>ASSET CLASSIFICATION (%)</t>
        </is>
      </c>
      <c r="B145" s="10" t="n"/>
      <c r="C145" s="10" t="n"/>
      <c r="D145" s="10" t="n"/>
    </row>
    <row r="146">
      <c r="A146" s="10" t="inlineStr">
        <is>
          <t>Buildings proportion</t>
        </is>
      </c>
      <c r="B146" s="10" t="n"/>
      <c r="C146" s="13" t="n">
        <v>25</v>
      </c>
      <c r="D146" s="12" t="inlineStr">
        <is>
          <t>INPUT</t>
        </is>
      </c>
    </row>
    <row r="147">
      <c r="A147" s="10" t="inlineStr">
        <is>
          <t>Heavy machinery proportion</t>
        </is>
      </c>
      <c r="B147" s="10" t="n"/>
      <c r="C147" s="13" t="n">
        <v>50</v>
      </c>
      <c r="D147" s="12" t="inlineStr">
        <is>
          <t>INPUT</t>
        </is>
      </c>
    </row>
    <row r="148">
      <c r="A148" s="10" t="inlineStr">
        <is>
          <t>Light equipment proportion</t>
        </is>
      </c>
      <c r="B148" s="10" t="n"/>
      <c r="C148" s="13" t="n">
        <v>15</v>
      </c>
      <c r="D148" s="12" t="inlineStr">
        <is>
          <t>INPUT</t>
        </is>
      </c>
    </row>
    <row r="149">
      <c r="A149" s="10" t="inlineStr">
        <is>
          <t>Vehicles proportion</t>
        </is>
      </c>
      <c r="B149" s="10" t="n"/>
      <c r="C149" s="13" t="n">
        <v>10</v>
      </c>
      <c r="D149" s="12" t="inlineStr">
        <is>
          <t>INPUT</t>
        </is>
      </c>
    </row>
    <row r="151">
      <c r="A151" s="9" t="inlineStr">
        <is>
          <t>G. FINANCING STRUCTURE</t>
        </is>
      </c>
    </row>
    <row r="152">
      <c r="A152" s="15" t="inlineStr">
        <is>
          <t>EQUITY</t>
        </is>
      </c>
      <c r="B152" s="10" t="n"/>
      <c r="C152" s="10" t="n"/>
      <c r="D152" s="10" t="n"/>
    </row>
    <row r="153">
      <c r="A153" s="10" t="inlineStr">
        <is>
          <t>Sponsor equity (% of total CAPEX)</t>
        </is>
      </c>
      <c r="B153" s="10" t="n"/>
      <c r="C153" s="13" t="n">
        <v>25</v>
      </c>
      <c r="D153" s="12" t="inlineStr">
        <is>
          <t>INPUT</t>
        </is>
      </c>
    </row>
    <row r="154">
      <c r="A154" s="10" t="inlineStr">
        <is>
          <t>Equity IRR hurdle rate (%)</t>
        </is>
      </c>
      <c r="B154" s="10" t="n"/>
      <c r="C154" s="13" t="n">
        <v>20</v>
      </c>
      <c r="D154" s="12" t="inlineStr">
        <is>
          <t>INPUT</t>
        </is>
      </c>
    </row>
    <row r="155">
      <c r="A155" s="10" t="inlineStr">
        <is>
          <t>Dividend policy</t>
        </is>
      </c>
      <c r="B155" s="10" t="n"/>
      <c r="C155" s="13" t="inlineStr">
        <is>
          <t>After debt service</t>
        </is>
      </c>
      <c r="D155" s="12" t="inlineStr">
        <is>
          <t>INPUT</t>
        </is>
      </c>
    </row>
    <row r="156">
      <c r="A156" s="10" t="inlineStr"/>
      <c r="B156" s="10" t="n"/>
      <c r="C156" s="10" t="n"/>
      <c r="D156" s="10" t="n"/>
    </row>
    <row r="157">
      <c r="A157" s="15" t="inlineStr">
        <is>
          <t>SENIOR DEBT (DFI)</t>
        </is>
      </c>
      <c r="B157" s="10" t="n"/>
      <c r="C157" s="10" t="n"/>
      <c r="D157" s="10" t="n"/>
    </row>
    <row r="158">
      <c r="A158" s="10" t="inlineStr">
        <is>
          <t>Senior debt (% of total CAPEX)</t>
        </is>
      </c>
      <c r="B158" s="10" t="n"/>
      <c r="C158" s="13" t="n">
        <v>55</v>
      </c>
      <c r="D158" s="12" t="inlineStr">
        <is>
          <t>INPUT</t>
        </is>
      </c>
    </row>
    <row r="159">
      <c r="A159" s="10" t="inlineStr">
        <is>
          <t>Interest rate - fixed (%)</t>
        </is>
      </c>
      <c r="B159" s="10" t="n"/>
      <c r="C159" s="13" t="n">
        <v>8</v>
      </c>
      <c r="D159" s="12" t="inlineStr">
        <is>
          <t>INPUT</t>
        </is>
      </c>
    </row>
    <row r="160">
      <c r="A160" s="10" t="inlineStr">
        <is>
          <t>Tenor (years)</t>
        </is>
      </c>
      <c r="B160" s="10" t="n"/>
      <c r="C160" s="13" t="n">
        <v>10</v>
      </c>
      <c r="D160" s="12" t="inlineStr">
        <is>
          <t>INPUT</t>
        </is>
      </c>
    </row>
    <row r="161">
      <c r="A161" s="10" t="inlineStr">
        <is>
          <t>Grace period (years)</t>
        </is>
      </c>
      <c r="B161" s="10" t="n"/>
      <c r="C161" s="13" t="n">
        <v>3</v>
      </c>
      <c r="D161" s="12" t="inlineStr">
        <is>
          <t>INPUT</t>
        </is>
      </c>
    </row>
    <row r="162">
      <c r="A162" s="10" t="inlineStr">
        <is>
          <t>Repayment schedule</t>
        </is>
      </c>
      <c r="B162" s="10" t="n"/>
      <c r="C162" s="13" t="inlineStr">
        <is>
          <t>Equal principal</t>
        </is>
      </c>
      <c r="D162" s="12" t="inlineStr">
        <is>
          <t>INPUT</t>
        </is>
      </c>
    </row>
    <row r="163">
      <c r="A163" s="10" t="inlineStr">
        <is>
          <t>Arrangement fee (%)</t>
        </is>
      </c>
      <c r="B163" s="10" t="n"/>
      <c r="C163" s="13" t="n">
        <v>1.5</v>
      </c>
      <c r="D163" s="12" t="inlineStr">
        <is>
          <t>INPUT</t>
        </is>
      </c>
    </row>
    <row r="164">
      <c r="A164" s="10" t="inlineStr">
        <is>
          <t>Commitment fee (% on undrawn)</t>
        </is>
      </c>
      <c r="B164" s="10" t="n"/>
      <c r="C164" s="13" t="n">
        <v>0.5</v>
      </c>
      <c r="D164" s="12" t="inlineStr">
        <is>
          <t>INPUT</t>
        </is>
      </c>
    </row>
    <row r="165">
      <c r="A165" s="10" t="inlineStr"/>
      <c r="B165" s="10" t="n"/>
      <c r="C165" s="10" t="n"/>
      <c r="D165" s="10" t="n"/>
    </row>
    <row r="166">
      <c r="A166" s="15" t="inlineStr">
        <is>
          <t>SUBORDINATED DEBT / MEZZANINE</t>
        </is>
      </c>
      <c r="B166" s="10" t="n"/>
      <c r="C166" s="10" t="n"/>
      <c r="D166" s="10" t="n"/>
    </row>
    <row r="167">
      <c r="A167" s="10" t="inlineStr">
        <is>
          <t>Mezzanine (% of total CAPEX)</t>
        </is>
      </c>
      <c r="B167" s="10" t="n"/>
      <c r="C167" s="13" t="n">
        <v>10</v>
      </c>
      <c r="D167" s="12" t="inlineStr">
        <is>
          <t>INPUT</t>
        </is>
      </c>
    </row>
    <row r="168">
      <c r="A168" s="10" t="inlineStr">
        <is>
          <t>Interest rate (%)</t>
        </is>
      </c>
      <c r="B168" s="10" t="n"/>
      <c r="C168" s="13" t="n">
        <v>12</v>
      </c>
      <c r="D168" s="12" t="inlineStr">
        <is>
          <t>INPUT</t>
        </is>
      </c>
    </row>
    <row r="169">
      <c r="A169" s="10" t="inlineStr">
        <is>
          <t>Payment-in-kind (PIK) option</t>
        </is>
      </c>
      <c r="B169" s="10" t="n"/>
      <c r="C169" s="13" t="inlineStr">
        <is>
          <t>Yes</t>
        </is>
      </c>
      <c r="D169" s="12" t="inlineStr">
        <is>
          <t>INPUT</t>
        </is>
      </c>
    </row>
    <row r="170">
      <c r="A170" s="10" t="inlineStr">
        <is>
          <t>PIK rate if applicable (%)</t>
        </is>
      </c>
      <c r="B170" s="10" t="n"/>
      <c r="C170" s="13" t="n">
        <v>14</v>
      </c>
      <c r="D170" s="12" t="inlineStr">
        <is>
          <t>INPUT</t>
        </is>
      </c>
    </row>
    <row r="171">
      <c r="A171" s="10" t="inlineStr">
        <is>
          <t>Tenor (years)</t>
        </is>
      </c>
      <c r="B171" s="10" t="n"/>
      <c r="C171" s="13" t="n">
        <v>8</v>
      </c>
      <c r="D171" s="12" t="inlineStr">
        <is>
          <t>INPUT</t>
        </is>
      </c>
    </row>
    <row r="172">
      <c r="A172" s="10" t="inlineStr">
        <is>
          <t>Grace period (years)</t>
        </is>
      </c>
      <c r="B172" s="10" t="n"/>
      <c r="C172" s="13" t="n">
        <v>5</v>
      </c>
      <c r="D172" s="12" t="inlineStr">
        <is>
          <t>INPUT</t>
        </is>
      </c>
    </row>
    <row r="173">
      <c r="A173" s="10" t="inlineStr"/>
      <c r="B173" s="10" t="n"/>
      <c r="C173" s="10" t="n"/>
      <c r="D173" s="10" t="n"/>
    </row>
    <row r="174">
      <c r="A174" s="15" t="inlineStr">
        <is>
          <t>GRANT / TECHNICAL ASSISTANCE</t>
        </is>
      </c>
      <c r="B174" s="10" t="n"/>
      <c r="C174" s="10" t="n"/>
      <c r="D174" s="10" t="n"/>
    </row>
    <row r="175">
      <c r="A175" s="10" t="inlineStr">
        <is>
          <t>Grant amount (XAF)</t>
        </is>
      </c>
      <c r="B175" s="10" t="n"/>
      <c r="C175" s="13" t="n">
        <v>500000000</v>
      </c>
      <c r="D175" s="12" t="inlineStr">
        <is>
          <t>INPUT</t>
        </is>
      </c>
    </row>
    <row r="176">
      <c r="A176" s="10" t="inlineStr">
        <is>
          <t>Grant purpose</t>
        </is>
      </c>
      <c r="B176" s="10" t="n"/>
      <c r="C176" s="13" t="inlineStr">
        <is>
          <t>TA &amp; Training</t>
        </is>
      </c>
      <c r="D176" s="12" t="inlineStr">
        <is>
          <t>INPUT</t>
        </is>
      </c>
    </row>
    <row r="177">
      <c r="A177" s="10" t="inlineStr">
        <is>
          <t>Grant disbursement timing</t>
        </is>
      </c>
      <c r="B177" s="10" t="n"/>
      <c r="C177" s="13" t="inlineStr">
        <is>
          <t>Year 1</t>
        </is>
      </c>
      <c r="D177" s="12" t="inlineStr">
        <is>
          <t>INPUT</t>
        </is>
      </c>
    </row>
    <row r="179">
      <c r="A179" s="9" t="inlineStr">
        <is>
          <t>H. TAX &amp; INCENTIVES (Cameroon)</t>
        </is>
      </c>
    </row>
    <row r="180">
      <c r="A180" s="10" t="inlineStr">
        <is>
          <t>Standard corporate income tax rate (%)</t>
        </is>
      </c>
      <c r="B180" s="10" t="n"/>
      <c r="C180" s="13" t="n">
        <v>33</v>
      </c>
      <c r="D180" s="12" t="inlineStr">
        <is>
          <t>INPUT</t>
        </is>
      </c>
    </row>
    <row r="181">
      <c r="A181" s="10" t="inlineStr">
        <is>
          <t>Installation phase duration (years)</t>
        </is>
      </c>
      <c r="B181" s="10" t="n"/>
      <c r="C181" s="13" t="n">
        <v>5</v>
      </c>
      <c r="D181" s="12" t="inlineStr">
        <is>
          <t>INPUT</t>
        </is>
      </c>
    </row>
    <row r="182">
      <c r="A182" s="10" t="inlineStr">
        <is>
          <t>Customs duty exemption</t>
        </is>
      </c>
      <c r="B182" s="10" t="n"/>
      <c r="C182" s="13" t="inlineStr">
        <is>
          <t>Yes</t>
        </is>
      </c>
      <c r="D182" s="12" t="inlineStr">
        <is>
          <t>INPUT</t>
        </is>
      </c>
    </row>
    <row r="183">
      <c r="A183" s="10" t="inlineStr">
        <is>
          <t>VAT exemption on imports</t>
        </is>
      </c>
      <c r="B183" s="10" t="n"/>
      <c r="C183" s="13" t="inlineStr">
        <is>
          <t>Yes</t>
        </is>
      </c>
      <c r="D183" s="12" t="inlineStr">
        <is>
          <t>INPUT</t>
        </is>
      </c>
    </row>
    <row r="184">
      <c r="A184" s="10" t="inlineStr">
        <is>
          <t>CIT holiday period (years)</t>
        </is>
      </c>
      <c r="B184" s="10" t="n"/>
      <c r="C184" s="13" t="n">
        <v>5</v>
      </c>
      <c r="D184" s="12" t="inlineStr">
        <is>
          <t>INPUT</t>
        </is>
      </c>
    </row>
    <row r="185">
      <c r="A185" s="10" t="inlineStr">
        <is>
          <t>Reduced CIT rate after holiday (%)</t>
        </is>
      </c>
      <c r="B185" s="10" t="n"/>
      <c r="C185" s="13" t="n">
        <v>16.5</v>
      </c>
      <c r="D185" s="12" t="inlineStr">
        <is>
          <t>INPUT</t>
        </is>
      </c>
    </row>
    <row r="186">
      <c r="A186" s="10" t="inlineStr">
        <is>
          <t>Tax credit (% - Category C project)</t>
        </is>
      </c>
      <c r="B186" s="10" t="n"/>
      <c r="C186" s="13" t="n">
        <v>75</v>
      </c>
      <c r="D186" s="12" t="inlineStr">
        <is>
          <t>INPUT</t>
        </is>
      </c>
    </row>
    <row r="187">
      <c r="A187" s="10" t="inlineStr">
        <is>
          <t>Loss carry-forward period (years)</t>
        </is>
      </c>
      <c r="B187" s="10" t="n"/>
      <c r="C187" s="13" t="n">
        <v>5</v>
      </c>
      <c r="D187" s="12" t="inlineStr">
        <is>
          <t>INPUT</t>
        </is>
      </c>
    </row>
    <row r="188">
      <c r="A188" s="10" t="inlineStr">
        <is>
          <t>Minimum corporate tax (% revenue)</t>
        </is>
      </c>
      <c r="B188" s="10" t="n"/>
      <c r="C188" s="13" t="n">
        <v>1</v>
      </c>
      <c r="D188" s="12" t="inlineStr">
        <is>
          <t>INPUT</t>
        </is>
      </c>
    </row>
    <row r="189">
      <c r="A189" s="10" t="inlineStr">
        <is>
          <t>Withholding tax on dividends (%)</t>
        </is>
      </c>
      <c r="B189" s="10" t="n"/>
      <c r="C189" s="13" t="n">
        <v>16.5</v>
      </c>
      <c r="D189" s="12" t="inlineStr">
        <is>
          <t>INPUT</t>
        </is>
      </c>
    </row>
    <row r="191">
      <c r="A191" s="9" t="inlineStr">
        <is>
          <t>I. WORKING CAPITAL ASSUMPTIONS</t>
        </is>
      </c>
    </row>
    <row r="192">
      <c r="A192" s="10" t="inlineStr">
        <is>
          <t>Raw materials inventory (days)</t>
        </is>
      </c>
      <c r="B192" s="10" t="n"/>
      <c r="C192" s="13" t="n">
        <v>30</v>
      </c>
      <c r="D192" s="12" t="inlineStr">
        <is>
          <t>INPUT</t>
        </is>
      </c>
    </row>
    <row r="193">
      <c r="A193" s="10" t="inlineStr">
        <is>
          <t>Finished goods inventory (days)</t>
        </is>
      </c>
      <c r="B193" s="10" t="n"/>
      <c r="C193" s="13" t="n">
        <v>45</v>
      </c>
      <c r="D193" s="12" t="inlineStr">
        <is>
          <t>INPUT</t>
        </is>
      </c>
    </row>
    <row r="194">
      <c r="A194" s="10" t="inlineStr">
        <is>
          <t>Accounts receivable (days)</t>
        </is>
      </c>
      <c r="B194" s="10" t="n"/>
      <c r="C194" s="13" t="n">
        <v>30</v>
      </c>
      <c r="D194" s="12" t="inlineStr">
        <is>
          <t>INPUT</t>
        </is>
      </c>
    </row>
    <row r="195">
      <c r="A195" s="10" t="inlineStr">
        <is>
          <t>Accounts payable (days)</t>
        </is>
      </c>
      <c r="B195" s="10" t="n"/>
      <c r="C195" s="13" t="n">
        <v>30</v>
      </c>
      <c r="D195" s="12" t="inlineStr">
        <is>
          <t>INPUT</t>
        </is>
      </c>
    </row>
    <row r="196">
      <c r="A196" s="10" t="inlineStr">
        <is>
          <t>Farmer payment terms</t>
        </is>
      </c>
      <c r="B196" s="10" t="n"/>
      <c r="C196" s="13" t="inlineStr">
        <is>
          <t>Immediate</t>
        </is>
      </c>
      <c r="D196" s="12" t="inlineStr">
        <is>
          <t>INPUT</t>
        </is>
      </c>
    </row>
    <row r="197">
      <c r="A197" s="10" t="inlineStr">
        <is>
          <t>Seasonal working capital peak multiplier</t>
        </is>
      </c>
      <c r="B197" s="10" t="n"/>
      <c r="C197" s="13" t="n">
        <v>1.5</v>
      </c>
      <c r="D197" s="12" t="inlineStr">
        <is>
          <t>INPUT</t>
        </is>
      </c>
    </row>
    <row r="198">
      <c r="A198" s="10" t="inlineStr">
        <is>
          <t>Cash buffer (days of operating costs)</t>
        </is>
      </c>
      <c r="B198" s="10" t="n"/>
      <c r="C198" s="13" t="n">
        <v>15</v>
      </c>
      <c r="D198" s="12" t="inlineStr">
        <is>
          <t>INPUT</t>
        </is>
      </c>
    </row>
    <row r="200">
      <c r="A200" s="9" t="inlineStr">
        <is>
          <t>J. MACROECONOMIC ASSUMPTIONS</t>
        </is>
      </c>
    </row>
    <row r="201">
      <c r="A201" s="10" t="inlineStr">
        <is>
          <t>XAF/USD exchange rate</t>
        </is>
      </c>
      <c r="B201" s="10" t="n"/>
      <c r="C201" s="13" t="n">
        <v>600</v>
      </c>
      <c r="D201" s="12" t="inlineStr">
        <is>
          <t>INPUT</t>
        </is>
      </c>
    </row>
    <row r="202">
      <c r="A202" s="10" t="inlineStr">
        <is>
          <t>General inflation rate (%/year)</t>
        </is>
      </c>
      <c r="B202" s="10" t="n"/>
      <c r="C202" s="13" t="n">
        <v>3</v>
      </c>
      <c r="D202" s="12" t="inlineStr">
        <is>
          <t>INPUT</t>
        </is>
      </c>
    </row>
    <row r="203">
      <c r="A203" s="10" t="inlineStr">
        <is>
          <t>USD reporting required</t>
        </is>
      </c>
      <c r="B203" s="10" t="n"/>
      <c r="C203" s="13" t="inlineStr">
        <is>
          <t>Yes</t>
        </is>
      </c>
      <c r="D203" s="12" t="inlineStr">
        <is>
          <t>INPUT</t>
        </is>
      </c>
    </row>
    <row r="204">
      <c r="A204" s="10" t="inlineStr">
        <is>
          <t>Discount rate for NPV (%)</t>
        </is>
      </c>
      <c r="B204" s="10" t="n"/>
      <c r="C204" s="13" t="n">
        <v>12</v>
      </c>
      <c r="D204" s="12" t="inlineStr">
        <is>
          <t>INPUT</t>
        </is>
      </c>
    </row>
    <row r="205">
      <c r="A205" s="10" t="inlineStr">
        <is>
          <t>Terminal growth rate (%)</t>
        </is>
      </c>
      <c r="B205" s="10" t="n"/>
      <c r="C205" s="13" t="n">
        <v>2</v>
      </c>
      <c r="D205" s="12" t="inlineStr">
        <is>
          <t>INPUT</t>
        </is>
      </c>
    </row>
    <row r="207">
      <c r="A207" s="9" t="inlineStr">
        <is>
          <t>K. SCENARIO TOGGLES</t>
        </is>
      </c>
    </row>
    <row r="208">
      <c r="A208" s="10" t="inlineStr">
        <is>
          <t>Active scenario</t>
        </is>
      </c>
      <c r="B208" s="10" t="n"/>
      <c r="C208" s="13" t="inlineStr">
        <is>
          <t>Base</t>
        </is>
      </c>
      <c r="D208" s="12" t="inlineStr">
        <is>
          <t>SELECT</t>
        </is>
      </c>
    </row>
    <row r="209">
      <c r="A209" s="10" t="inlineStr"/>
      <c r="B209" s="10" t="n"/>
      <c r="C209" s="10" t="n"/>
      <c r="D209" s="10" t="n"/>
    </row>
    <row r="210">
      <c r="A210" s="15" t="inlineStr">
        <is>
          <t>DOWNSIDE SCENARIO ADJUSTMENTS</t>
        </is>
      </c>
      <c r="B210" s="10" t="n"/>
      <c r="C210" s="10" t="n"/>
      <c r="D210" s="10" t="n"/>
    </row>
    <row r="211">
      <c r="A211" s="10" t="inlineStr">
        <is>
          <t>Yield adjustment (%)</t>
        </is>
      </c>
      <c r="B211" s="10" t="n"/>
      <c r="C211" s="13" t="n">
        <v>-20</v>
      </c>
      <c r="D211" s="12" t="inlineStr">
        <is>
          <t>INPUT</t>
        </is>
      </c>
    </row>
    <row r="212">
      <c r="A212" s="10" t="inlineStr">
        <is>
          <t>Price adjustment (%)</t>
        </is>
      </c>
      <c r="B212" s="10" t="n"/>
      <c r="C212" s="13" t="n">
        <v>-15</v>
      </c>
      <c r="D212" s="12" t="inlineStr">
        <is>
          <t>INPUT</t>
        </is>
      </c>
    </row>
    <row r="213">
      <c r="A213" s="10" t="inlineStr">
        <is>
          <t>CAPEX overrun (%)</t>
        </is>
      </c>
      <c r="B213" s="10" t="n"/>
      <c r="C213" s="13" t="n">
        <v>15</v>
      </c>
      <c r="D213" s="12" t="inlineStr">
        <is>
          <t>INPUT</t>
        </is>
      </c>
    </row>
    <row r="214">
      <c r="A214" s="10" t="inlineStr">
        <is>
          <t>Operating cost increase (%)</t>
        </is>
      </c>
      <c r="B214" s="10" t="n"/>
      <c r="C214" s="13" t="n">
        <v>10</v>
      </c>
      <c r="D214" s="12" t="inlineStr">
        <is>
          <t>INPUT</t>
        </is>
      </c>
    </row>
    <row r="215">
      <c r="A215" s="10" t="inlineStr">
        <is>
          <t>Ramp-up delay (months)</t>
        </is>
      </c>
      <c r="B215" s="10" t="n"/>
      <c r="C215" s="13" t="n">
        <v>6</v>
      </c>
      <c r="D215" s="12" t="inlineStr">
        <is>
          <t>INPUT</t>
        </is>
      </c>
    </row>
    <row r="216">
      <c r="A216" s="10" t="inlineStr"/>
      <c r="B216" s="10" t="n"/>
      <c r="C216" s="10" t="n"/>
      <c r="D216" s="10" t="n"/>
    </row>
    <row r="217">
      <c r="A217" s="15" t="inlineStr">
        <is>
          <t>UPSIDE SCENARIO ADJUSTMENTS</t>
        </is>
      </c>
      <c r="B217" s="10" t="n"/>
      <c r="C217" s="10" t="n"/>
      <c r="D217" s="10" t="n"/>
    </row>
    <row r="218">
      <c r="A218" s="10" t="inlineStr">
        <is>
          <t>Yield adjustment (%)</t>
        </is>
      </c>
      <c r="B218" s="10" t="n"/>
      <c r="C218" s="13" t="n">
        <v>10</v>
      </c>
      <c r="D218" s="12" t="inlineStr">
        <is>
          <t>INPUT</t>
        </is>
      </c>
    </row>
    <row r="219">
      <c r="A219" s="10" t="inlineStr">
        <is>
          <t>Price adjustment (%)</t>
        </is>
      </c>
      <c r="B219" s="10" t="n"/>
      <c r="C219" s="13" t="n">
        <v>10</v>
      </c>
      <c r="D219" s="12" t="inlineStr">
        <is>
          <t>INPUT</t>
        </is>
      </c>
    </row>
    <row r="220">
      <c r="A220" s="10" t="inlineStr">
        <is>
          <t>CAPEX savings (%)</t>
        </is>
      </c>
      <c r="B220" s="10" t="n"/>
      <c r="C220" s="13" t="n">
        <v>-5</v>
      </c>
      <c r="D220" s="12" t="inlineStr">
        <is>
          <t>INPUT</t>
        </is>
      </c>
    </row>
    <row r="221">
      <c r="A221" s="10" t="inlineStr">
        <is>
          <t>Operating cost reduction (%)</t>
        </is>
      </c>
      <c r="B221" s="10" t="n"/>
      <c r="C221" s="13" t="n">
        <v>-5</v>
      </c>
      <c r="D221" s="12" t="inlineStr">
        <is>
          <t>INPUT</t>
        </is>
      </c>
    </row>
    <row r="222">
      <c r="A222" s="10" t="inlineStr">
        <is>
          <t>Accelerated ramp-up (months)</t>
        </is>
      </c>
      <c r="B222" s="10" t="n"/>
      <c r="C222" s="13" t="n">
        <v>-3</v>
      </c>
      <c r="D222" s="12" t="inlineStr">
        <is>
          <t>INPUT</t>
        </is>
      </c>
    </row>
  </sheetData>
  <mergeCells count="13">
    <mergeCell ref="A1:D1"/>
    <mergeCell ref="A58:D58"/>
    <mergeCell ref="A4:D4"/>
    <mergeCell ref="A92:D92"/>
    <mergeCell ref="A39:D39"/>
    <mergeCell ref="A179:D179"/>
    <mergeCell ref="A200:D200"/>
    <mergeCell ref="A151:D151"/>
    <mergeCell ref="A2:D2"/>
    <mergeCell ref="A137:D137"/>
    <mergeCell ref="A191:D191"/>
    <mergeCell ref="A207:D207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0" customWidth="1" min="4" max="4"/>
    <col width="25" customWidth="1" min="5" max="5"/>
    <col width="40" customWidth="1" min="6" max="6"/>
  </cols>
  <sheetData>
    <row r="1">
      <c r="A1" s="7" t="inlineStr">
        <is>
          <t>PROJECT TIMELINE</t>
        </is>
      </c>
    </row>
    <row r="3">
      <c r="A3" s="16" t="inlineStr">
        <is>
          <t>Month</t>
        </is>
      </c>
      <c r="B3" s="16" t="inlineStr">
        <is>
          <t>Date</t>
        </is>
      </c>
      <c r="C3" s="16" t="inlineStr">
        <is>
          <t>Quarter</t>
        </is>
      </c>
      <c r="D3" s="16" t="inlineStr">
        <is>
          <t>Year</t>
        </is>
      </c>
      <c r="E3" s="16" t="inlineStr">
        <is>
          <t>Phase</t>
        </is>
      </c>
      <c r="F3" s="16" t="inlineStr">
        <is>
          <t>Milestone</t>
        </is>
      </c>
    </row>
    <row r="4">
      <c r="A4" t="n">
        <v>1</v>
      </c>
      <c r="B4" s="4" t="n">
        <v>46023</v>
      </c>
      <c r="C4" t="inlineStr">
        <is>
          <t>Q1</t>
        </is>
      </c>
      <c r="D4" t="inlineStr">
        <is>
          <t>Year 1</t>
        </is>
      </c>
      <c r="E4" t="inlineStr">
        <is>
          <t>Phase 1: Seed</t>
        </is>
      </c>
    </row>
    <row r="5">
      <c r="A5" t="n">
        <v>2</v>
      </c>
      <c r="B5" s="4" t="n">
        <v>46054</v>
      </c>
      <c r="C5" t="inlineStr">
        <is>
          <t>Q1</t>
        </is>
      </c>
      <c r="D5" t="inlineStr">
        <is>
          <t>Year 1</t>
        </is>
      </c>
      <c r="E5" t="inlineStr">
        <is>
          <t>Phase 1: Seed</t>
        </is>
      </c>
    </row>
    <row r="6">
      <c r="A6" t="n">
        <v>3</v>
      </c>
      <c r="B6" s="4" t="n">
        <v>46082</v>
      </c>
      <c r="C6" t="inlineStr">
        <is>
          <t>Q1</t>
        </is>
      </c>
      <c r="D6" t="inlineStr">
        <is>
          <t>Year 1</t>
        </is>
      </c>
      <c r="E6" t="inlineStr">
        <is>
          <t>Phase 1: Seed</t>
        </is>
      </c>
    </row>
    <row r="7">
      <c r="A7" t="n">
        <v>4</v>
      </c>
      <c r="B7" s="4" t="n">
        <v>46113</v>
      </c>
      <c r="C7" t="inlineStr">
        <is>
          <t>Q2</t>
        </is>
      </c>
      <c r="D7" t="inlineStr">
        <is>
          <t>Year 1</t>
        </is>
      </c>
      <c r="E7" t="inlineStr">
        <is>
          <t>Phase 1: Seed</t>
        </is>
      </c>
    </row>
    <row r="8">
      <c r="A8" t="n">
        <v>5</v>
      </c>
      <c r="B8" s="4" t="n">
        <v>46143</v>
      </c>
      <c r="C8" t="inlineStr">
        <is>
          <t>Q2</t>
        </is>
      </c>
      <c r="D8" t="inlineStr">
        <is>
          <t>Year 1</t>
        </is>
      </c>
      <c r="E8" t="inlineStr">
        <is>
          <t>Phase 1: Seed</t>
        </is>
      </c>
    </row>
    <row r="9">
      <c r="A9" t="n">
        <v>6</v>
      </c>
      <c r="B9" s="4" t="n">
        <v>46174</v>
      </c>
      <c r="C9" t="inlineStr">
        <is>
          <t>Q2</t>
        </is>
      </c>
      <c r="D9" t="inlineStr">
        <is>
          <t>Year 1</t>
        </is>
      </c>
      <c r="E9" t="inlineStr">
        <is>
          <t>Phase 1: Seed</t>
        </is>
      </c>
    </row>
    <row r="10">
      <c r="A10" t="n">
        <v>7</v>
      </c>
      <c r="B10" s="4" t="n">
        <v>46204</v>
      </c>
      <c r="C10" t="inlineStr">
        <is>
          <t>Q3</t>
        </is>
      </c>
      <c r="D10" t="inlineStr">
        <is>
          <t>Year 1</t>
        </is>
      </c>
      <c r="E10" t="inlineStr">
        <is>
          <t>Phase 1: Seed</t>
        </is>
      </c>
    </row>
    <row r="11">
      <c r="A11" t="n">
        <v>8</v>
      </c>
      <c r="B11" s="4" t="n">
        <v>46235</v>
      </c>
      <c r="C11" t="inlineStr">
        <is>
          <t>Q3</t>
        </is>
      </c>
      <c r="D11" t="inlineStr">
        <is>
          <t>Year 1</t>
        </is>
      </c>
      <c r="E11" t="inlineStr">
        <is>
          <t>Phase 1: Seed</t>
        </is>
      </c>
    </row>
    <row r="12">
      <c r="A12" t="n">
        <v>9</v>
      </c>
      <c r="B12" s="4" t="n">
        <v>46266</v>
      </c>
      <c r="C12" t="inlineStr">
        <is>
          <t>Q3</t>
        </is>
      </c>
      <c r="D12" t="inlineStr">
        <is>
          <t>Year 1</t>
        </is>
      </c>
      <c r="E12" t="inlineStr">
        <is>
          <t>Phase 1: Seed</t>
        </is>
      </c>
    </row>
    <row r="13">
      <c r="A13" t="n">
        <v>10</v>
      </c>
      <c r="B13" s="4" t="n">
        <v>46296</v>
      </c>
      <c r="C13" t="inlineStr">
        <is>
          <t>Q4</t>
        </is>
      </c>
      <c r="D13" t="inlineStr">
        <is>
          <t>Year 1</t>
        </is>
      </c>
      <c r="E13" t="inlineStr">
        <is>
          <t>Phase 1: Seed</t>
        </is>
      </c>
    </row>
    <row r="14">
      <c r="A14" t="n">
        <v>11</v>
      </c>
      <c r="B14" s="4" t="n">
        <v>46327</v>
      </c>
      <c r="C14" t="inlineStr">
        <is>
          <t>Q4</t>
        </is>
      </c>
      <c r="D14" t="inlineStr">
        <is>
          <t>Year 1</t>
        </is>
      </c>
      <c r="E14" t="inlineStr">
        <is>
          <t>Phase 1: Seed</t>
        </is>
      </c>
    </row>
    <row r="15">
      <c r="A15" t="n">
        <v>12</v>
      </c>
      <c r="B15" s="4" t="n">
        <v>46357</v>
      </c>
      <c r="C15" t="inlineStr">
        <is>
          <t>Q4</t>
        </is>
      </c>
      <c r="D15" t="inlineStr">
        <is>
          <t>Year 1</t>
        </is>
      </c>
      <c r="E15" t="inlineStr">
        <is>
          <t>Phase 1: Seed</t>
        </is>
      </c>
    </row>
    <row r="16">
      <c r="A16" t="n">
        <v>13</v>
      </c>
      <c r="B16" s="4" t="n">
        <v>46388</v>
      </c>
      <c r="C16" t="inlineStr">
        <is>
          <t>Q1</t>
        </is>
      </c>
      <c r="D16" t="inlineStr">
        <is>
          <t>Year 2</t>
        </is>
      </c>
      <c r="E16" t="inlineStr">
        <is>
          <t>Phase 1: Seed</t>
        </is>
      </c>
    </row>
    <row r="17">
      <c r="A17" t="n">
        <v>14</v>
      </c>
      <c r="B17" s="4" t="n">
        <v>46419</v>
      </c>
      <c r="C17" t="inlineStr">
        <is>
          <t>Q1</t>
        </is>
      </c>
      <c r="D17" t="inlineStr">
        <is>
          <t>Year 2</t>
        </is>
      </c>
      <c r="E17" t="inlineStr">
        <is>
          <t>Phase 1: Seed</t>
        </is>
      </c>
    </row>
    <row r="18">
      <c r="A18" t="n">
        <v>15</v>
      </c>
      <c r="B18" s="4" t="n">
        <v>46447</v>
      </c>
      <c r="C18" t="inlineStr">
        <is>
          <t>Q1</t>
        </is>
      </c>
      <c r="D18" t="inlineStr">
        <is>
          <t>Year 2</t>
        </is>
      </c>
      <c r="E18" t="inlineStr">
        <is>
          <t>Phase 1: Seed</t>
        </is>
      </c>
    </row>
    <row r="19">
      <c r="A19" t="n">
        <v>16</v>
      </c>
      <c r="B19" s="4" t="n">
        <v>46478</v>
      </c>
      <c r="C19" t="inlineStr">
        <is>
          <t>Q2</t>
        </is>
      </c>
      <c r="D19" t="inlineStr">
        <is>
          <t>Year 2</t>
        </is>
      </c>
      <c r="E19" t="inlineStr">
        <is>
          <t>Phase 1: Seed</t>
        </is>
      </c>
    </row>
    <row r="20">
      <c r="A20" t="n">
        <v>17</v>
      </c>
      <c r="B20" s="4" t="n">
        <v>46508</v>
      </c>
      <c r="C20" t="inlineStr">
        <is>
          <t>Q2</t>
        </is>
      </c>
      <c r="D20" t="inlineStr">
        <is>
          <t>Year 2</t>
        </is>
      </c>
      <c r="E20" t="inlineStr">
        <is>
          <t>Phase 1: Seed</t>
        </is>
      </c>
    </row>
    <row r="21">
      <c r="A21" t="n">
        <v>18</v>
      </c>
      <c r="B21" s="4" t="n">
        <v>46539</v>
      </c>
      <c r="C21" t="inlineStr">
        <is>
          <t>Q2</t>
        </is>
      </c>
      <c r="D21" t="inlineStr">
        <is>
          <t>Year 2</t>
        </is>
      </c>
      <c r="E21" t="inlineStr">
        <is>
          <t>Phase 1: Seed</t>
        </is>
      </c>
    </row>
    <row r="22">
      <c r="A22" t="n">
        <v>19</v>
      </c>
      <c r="B22" s="4" t="n">
        <v>46569</v>
      </c>
      <c r="C22" t="inlineStr">
        <is>
          <t>Q3</t>
        </is>
      </c>
      <c r="D22" t="inlineStr">
        <is>
          <t>Year 2</t>
        </is>
      </c>
      <c r="E22" t="inlineStr">
        <is>
          <t>Phase 2: Outgrower</t>
        </is>
      </c>
    </row>
    <row r="23">
      <c r="A23" t="n">
        <v>20</v>
      </c>
      <c r="B23" s="4" t="n">
        <v>46600</v>
      </c>
      <c r="C23" t="inlineStr">
        <is>
          <t>Q3</t>
        </is>
      </c>
      <c r="D23" t="inlineStr">
        <is>
          <t>Year 2</t>
        </is>
      </c>
      <c r="E23" t="inlineStr">
        <is>
          <t>Phase 2: Outgrower</t>
        </is>
      </c>
    </row>
    <row r="24">
      <c r="A24" t="n">
        <v>21</v>
      </c>
      <c r="B24" s="4" t="n">
        <v>46631</v>
      </c>
      <c r="C24" t="inlineStr">
        <is>
          <t>Q3</t>
        </is>
      </c>
      <c r="D24" t="inlineStr">
        <is>
          <t>Year 2</t>
        </is>
      </c>
      <c r="E24" t="inlineStr">
        <is>
          <t>Phase 2: Outgrower</t>
        </is>
      </c>
    </row>
    <row r="25">
      <c r="A25" t="n">
        <v>22</v>
      </c>
      <c r="B25" s="4" t="n">
        <v>46661</v>
      </c>
      <c r="C25" t="inlineStr">
        <is>
          <t>Q4</t>
        </is>
      </c>
      <c r="D25" t="inlineStr">
        <is>
          <t>Year 2</t>
        </is>
      </c>
      <c r="E25" t="inlineStr">
        <is>
          <t>Phase 2: Outgrower</t>
        </is>
      </c>
    </row>
    <row r="26">
      <c r="A26" t="n">
        <v>23</v>
      </c>
      <c r="B26" s="4" t="n">
        <v>46692</v>
      </c>
      <c r="C26" t="inlineStr">
        <is>
          <t>Q4</t>
        </is>
      </c>
      <c r="D26" t="inlineStr">
        <is>
          <t>Year 2</t>
        </is>
      </c>
      <c r="E26" t="inlineStr">
        <is>
          <t>Phase 2: Outgrower</t>
        </is>
      </c>
    </row>
    <row r="27">
      <c r="A27" t="n">
        <v>24</v>
      </c>
      <c r="B27" s="4" t="n">
        <v>46722</v>
      </c>
      <c r="C27" t="inlineStr">
        <is>
          <t>Q4</t>
        </is>
      </c>
      <c r="D27" t="inlineStr">
        <is>
          <t>Year 2</t>
        </is>
      </c>
      <c r="E27" t="inlineStr">
        <is>
          <t>Phase 2: Outgrower</t>
        </is>
      </c>
    </row>
    <row r="28">
      <c r="A28" t="n">
        <v>25</v>
      </c>
      <c r="B28" s="4" t="n">
        <v>46753</v>
      </c>
      <c r="C28" t="inlineStr">
        <is>
          <t>Q1</t>
        </is>
      </c>
      <c r="D28" t="inlineStr">
        <is>
          <t>Year 3</t>
        </is>
      </c>
      <c r="E28" t="inlineStr">
        <is>
          <t>Phase 2: Outgrower</t>
        </is>
      </c>
    </row>
    <row r="29">
      <c r="A29" t="n">
        <v>26</v>
      </c>
      <c r="B29" s="4" t="n">
        <v>46784</v>
      </c>
      <c r="C29" t="inlineStr">
        <is>
          <t>Q1</t>
        </is>
      </c>
      <c r="D29" t="inlineStr">
        <is>
          <t>Year 3</t>
        </is>
      </c>
      <c r="E29" t="inlineStr">
        <is>
          <t>Phase 2: Outgrower</t>
        </is>
      </c>
    </row>
    <row r="30">
      <c r="A30" t="n">
        <v>27</v>
      </c>
      <c r="B30" s="4" t="n">
        <v>46813</v>
      </c>
      <c r="C30" t="inlineStr">
        <is>
          <t>Q1</t>
        </is>
      </c>
      <c r="D30" t="inlineStr">
        <is>
          <t>Year 3</t>
        </is>
      </c>
      <c r="E30" t="inlineStr">
        <is>
          <t>Phase 2: Outgrower</t>
        </is>
      </c>
    </row>
    <row r="31">
      <c r="A31" t="n">
        <v>28</v>
      </c>
      <c r="B31" s="4" t="n">
        <v>46844</v>
      </c>
      <c r="C31" t="inlineStr">
        <is>
          <t>Q2</t>
        </is>
      </c>
      <c r="D31" t="inlineStr">
        <is>
          <t>Year 3</t>
        </is>
      </c>
      <c r="E31" t="inlineStr">
        <is>
          <t>Phase 2: Outgrower</t>
        </is>
      </c>
    </row>
    <row r="32">
      <c r="A32" t="n">
        <v>29</v>
      </c>
      <c r="B32" s="4" t="n">
        <v>46874</v>
      </c>
      <c r="C32" t="inlineStr">
        <is>
          <t>Q2</t>
        </is>
      </c>
      <c r="D32" t="inlineStr">
        <is>
          <t>Year 3</t>
        </is>
      </c>
      <c r="E32" t="inlineStr">
        <is>
          <t>Phase 2: Outgrower</t>
        </is>
      </c>
    </row>
    <row r="33">
      <c r="A33" t="n">
        <v>30</v>
      </c>
      <c r="B33" s="4" t="n">
        <v>46905</v>
      </c>
      <c r="C33" t="inlineStr">
        <is>
          <t>Q2</t>
        </is>
      </c>
      <c r="D33" t="inlineStr">
        <is>
          <t>Year 3</t>
        </is>
      </c>
      <c r="E33" t="inlineStr">
        <is>
          <t>Phase 2: Outgrower</t>
        </is>
      </c>
    </row>
    <row r="34">
      <c r="A34" t="n">
        <v>31</v>
      </c>
      <c r="B34" s="4" t="n">
        <v>46935</v>
      </c>
      <c r="C34" t="inlineStr">
        <is>
          <t>Q3</t>
        </is>
      </c>
      <c r="D34" t="inlineStr">
        <is>
          <t>Year 3</t>
        </is>
      </c>
      <c r="E34" t="inlineStr">
        <is>
          <t>Phase 2: Outgrower</t>
        </is>
      </c>
    </row>
    <row r="35">
      <c r="A35" t="n">
        <v>32</v>
      </c>
      <c r="B35" s="4" t="n">
        <v>46966</v>
      </c>
      <c r="C35" t="inlineStr">
        <is>
          <t>Q3</t>
        </is>
      </c>
      <c r="D35" t="inlineStr">
        <is>
          <t>Year 3</t>
        </is>
      </c>
      <c r="E35" t="inlineStr">
        <is>
          <t>Phase 2: Outgrower</t>
        </is>
      </c>
    </row>
    <row r="36">
      <c r="A36" t="n">
        <v>33</v>
      </c>
      <c r="B36" s="4" t="n">
        <v>46997</v>
      </c>
      <c r="C36" t="inlineStr">
        <is>
          <t>Q3</t>
        </is>
      </c>
      <c r="D36" t="inlineStr">
        <is>
          <t>Year 3</t>
        </is>
      </c>
      <c r="E36" t="inlineStr">
        <is>
          <t>Phase 2: Outgrower</t>
        </is>
      </c>
    </row>
    <row r="37">
      <c r="A37" t="n">
        <v>34</v>
      </c>
      <c r="B37" s="4" t="n">
        <v>47027</v>
      </c>
      <c r="C37" t="inlineStr">
        <is>
          <t>Q4</t>
        </is>
      </c>
      <c r="D37" t="inlineStr">
        <is>
          <t>Year 3</t>
        </is>
      </c>
      <c r="E37" t="inlineStr">
        <is>
          <t>Phase 2: Outgrower</t>
        </is>
      </c>
    </row>
    <row r="38">
      <c r="A38" t="n">
        <v>35</v>
      </c>
      <c r="B38" s="4" t="n">
        <v>47058</v>
      </c>
      <c r="C38" t="inlineStr">
        <is>
          <t>Q4</t>
        </is>
      </c>
      <c r="D38" t="inlineStr">
        <is>
          <t>Year 3</t>
        </is>
      </c>
      <c r="E38" t="inlineStr">
        <is>
          <t>Phase 2: Outgrower</t>
        </is>
      </c>
    </row>
    <row r="39">
      <c r="A39" t="n">
        <v>36</v>
      </c>
      <c r="B39" s="4" t="n">
        <v>47088</v>
      </c>
      <c r="C39" t="inlineStr">
        <is>
          <t>Q4</t>
        </is>
      </c>
      <c r="D39" t="inlineStr">
        <is>
          <t>Year 3</t>
        </is>
      </c>
      <c r="E39" t="inlineStr">
        <is>
          <t>Phase 2: Outgrower</t>
        </is>
      </c>
    </row>
    <row r="40">
      <c r="A40" t="n">
        <v>37</v>
      </c>
      <c r="B40" s="4" t="n">
        <v>47119</v>
      </c>
      <c r="C40" t="inlineStr">
        <is>
          <t>Q1</t>
        </is>
      </c>
      <c r="D40" t="inlineStr">
        <is>
          <t>Year 4</t>
        </is>
      </c>
      <c r="E40" t="inlineStr">
        <is>
          <t>Phase 2: Outgrower</t>
        </is>
      </c>
    </row>
    <row r="41">
      <c r="A41" t="n">
        <v>38</v>
      </c>
      <c r="B41" s="4" t="n">
        <v>47150</v>
      </c>
      <c r="C41" t="inlineStr">
        <is>
          <t>Q1</t>
        </is>
      </c>
      <c r="D41" t="inlineStr">
        <is>
          <t>Year 4</t>
        </is>
      </c>
      <c r="E41" t="inlineStr">
        <is>
          <t>Phase 2: Outgrower</t>
        </is>
      </c>
    </row>
    <row r="42">
      <c r="A42" t="n">
        <v>39</v>
      </c>
      <c r="B42" s="4" t="n">
        <v>47178</v>
      </c>
      <c r="C42" t="inlineStr">
        <is>
          <t>Q1</t>
        </is>
      </c>
      <c r="D42" t="inlineStr">
        <is>
          <t>Year 4</t>
        </is>
      </c>
      <c r="E42" t="inlineStr">
        <is>
          <t>Phase 2: Outgrower</t>
        </is>
      </c>
    </row>
    <row r="43">
      <c r="A43" t="n">
        <v>40</v>
      </c>
      <c r="B43" s="4" t="n">
        <v>47209</v>
      </c>
      <c r="C43" t="inlineStr">
        <is>
          <t>Q2</t>
        </is>
      </c>
      <c r="D43" t="inlineStr">
        <is>
          <t>Year 4</t>
        </is>
      </c>
      <c r="E43" t="inlineStr">
        <is>
          <t>Phase 2: Outgrower</t>
        </is>
      </c>
    </row>
    <row r="44">
      <c r="A44" t="n">
        <v>41</v>
      </c>
      <c r="B44" s="4" t="n">
        <v>47239</v>
      </c>
      <c r="C44" t="inlineStr">
        <is>
          <t>Q2</t>
        </is>
      </c>
      <c r="D44" t="inlineStr">
        <is>
          <t>Year 4</t>
        </is>
      </c>
      <c r="E44" t="inlineStr">
        <is>
          <t>Phase 2: Outgrower</t>
        </is>
      </c>
    </row>
    <row r="45">
      <c r="A45" t="n">
        <v>42</v>
      </c>
      <c r="B45" s="4" t="n">
        <v>47270</v>
      </c>
      <c r="C45" t="inlineStr">
        <is>
          <t>Q2</t>
        </is>
      </c>
      <c r="D45" t="inlineStr">
        <is>
          <t>Year 4</t>
        </is>
      </c>
      <c r="E45" t="inlineStr">
        <is>
          <t>Phase 2: Outgrower</t>
        </is>
      </c>
    </row>
    <row r="46">
      <c r="A46" t="n">
        <v>43</v>
      </c>
      <c r="B46" s="4" t="n">
        <v>47300</v>
      </c>
      <c r="C46" t="inlineStr">
        <is>
          <t>Q3</t>
        </is>
      </c>
      <c r="D46" t="inlineStr">
        <is>
          <t>Year 4</t>
        </is>
      </c>
      <c r="E46" t="inlineStr">
        <is>
          <t>Phase 3: Processing</t>
        </is>
      </c>
    </row>
    <row r="47">
      <c r="A47" t="n">
        <v>44</v>
      </c>
      <c r="B47" s="4" t="n">
        <v>47331</v>
      </c>
      <c r="C47" t="inlineStr">
        <is>
          <t>Q3</t>
        </is>
      </c>
      <c r="D47" t="inlineStr">
        <is>
          <t>Year 4</t>
        </is>
      </c>
      <c r="E47" t="inlineStr">
        <is>
          <t>Phase 3: Processing</t>
        </is>
      </c>
    </row>
    <row r="48">
      <c r="A48" t="n">
        <v>45</v>
      </c>
      <c r="B48" s="4" t="n">
        <v>47362</v>
      </c>
      <c r="C48" t="inlineStr">
        <is>
          <t>Q3</t>
        </is>
      </c>
      <c r="D48" t="inlineStr">
        <is>
          <t>Year 4</t>
        </is>
      </c>
      <c r="E48" t="inlineStr">
        <is>
          <t>Phase 3: Processing</t>
        </is>
      </c>
    </row>
    <row r="49">
      <c r="A49" t="n">
        <v>46</v>
      </c>
      <c r="B49" s="4" t="n">
        <v>47392</v>
      </c>
      <c r="C49" t="inlineStr">
        <is>
          <t>Q4</t>
        </is>
      </c>
      <c r="D49" t="inlineStr">
        <is>
          <t>Year 4</t>
        </is>
      </c>
      <c r="E49" t="inlineStr">
        <is>
          <t>Phase 3: Processing</t>
        </is>
      </c>
    </row>
    <row r="50">
      <c r="A50" t="n">
        <v>47</v>
      </c>
      <c r="B50" s="4" t="n">
        <v>47423</v>
      </c>
      <c r="C50" t="inlineStr">
        <is>
          <t>Q4</t>
        </is>
      </c>
      <c r="D50" t="inlineStr">
        <is>
          <t>Year 4</t>
        </is>
      </c>
      <c r="E50" t="inlineStr">
        <is>
          <t>Phase 3: Processing</t>
        </is>
      </c>
    </row>
    <row r="51">
      <c r="A51" t="n">
        <v>48</v>
      </c>
      <c r="B51" s="4" t="n">
        <v>47453</v>
      </c>
      <c r="C51" t="inlineStr">
        <is>
          <t>Q4</t>
        </is>
      </c>
      <c r="D51" t="inlineStr">
        <is>
          <t>Year 4</t>
        </is>
      </c>
      <c r="E51" t="inlineStr">
        <is>
          <t>Phase 3: Processing</t>
        </is>
      </c>
    </row>
    <row r="52">
      <c r="A52" t="n">
        <v>49</v>
      </c>
      <c r="B52" s="4" t="n">
        <v>47484</v>
      </c>
      <c r="C52" t="inlineStr">
        <is>
          <t>Q1</t>
        </is>
      </c>
      <c r="D52" t="inlineStr">
        <is>
          <t>Year 5</t>
        </is>
      </c>
      <c r="E52" t="inlineStr">
        <is>
          <t>Phase 3: Processing</t>
        </is>
      </c>
    </row>
    <row r="53">
      <c r="A53" t="n">
        <v>50</v>
      </c>
      <c r="B53" s="4" t="n">
        <v>47515</v>
      </c>
      <c r="C53" t="inlineStr">
        <is>
          <t>Q1</t>
        </is>
      </c>
      <c r="D53" t="inlineStr">
        <is>
          <t>Year 5</t>
        </is>
      </c>
      <c r="E53" t="inlineStr">
        <is>
          <t>Phase 3: Processing</t>
        </is>
      </c>
    </row>
    <row r="54">
      <c r="A54" t="n">
        <v>51</v>
      </c>
      <c r="B54" s="4" t="n">
        <v>47543</v>
      </c>
      <c r="C54" t="inlineStr">
        <is>
          <t>Q1</t>
        </is>
      </c>
      <c r="D54" t="inlineStr">
        <is>
          <t>Year 5</t>
        </is>
      </c>
      <c r="E54" t="inlineStr">
        <is>
          <t>Phase 3: Processing</t>
        </is>
      </c>
    </row>
    <row r="55">
      <c r="A55" t="n">
        <v>52</v>
      </c>
      <c r="B55" s="4" t="n">
        <v>47574</v>
      </c>
      <c r="C55" t="inlineStr">
        <is>
          <t>Q2</t>
        </is>
      </c>
      <c r="D55" t="inlineStr">
        <is>
          <t>Year 5</t>
        </is>
      </c>
      <c r="E55" t="inlineStr">
        <is>
          <t>Phase 3: Processing</t>
        </is>
      </c>
    </row>
    <row r="56">
      <c r="A56" t="n">
        <v>53</v>
      </c>
      <c r="B56" s="4" t="n">
        <v>47604</v>
      </c>
      <c r="C56" t="inlineStr">
        <is>
          <t>Q2</t>
        </is>
      </c>
      <c r="D56" t="inlineStr">
        <is>
          <t>Year 5</t>
        </is>
      </c>
      <c r="E56" t="inlineStr">
        <is>
          <t>Phase 3: Processing</t>
        </is>
      </c>
    </row>
    <row r="57">
      <c r="A57" t="n">
        <v>54</v>
      </c>
      <c r="B57" s="4" t="n">
        <v>47635</v>
      </c>
      <c r="C57" t="inlineStr">
        <is>
          <t>Q2</t>
        </is>
      </c>
      <c r="D57" t="inlineStr">
        <is>
          <t>Year 5</t>
        </is>
      </c>
      <c r="E57" t="inlineStr">
        <is>
          <t>Phase 3: Processing</t>
        </is>
      </c>
    </row>
    <row r="58">
      <c r="A58" t="n">
        <v>55</v>
      </c>
      <c r="B58" s="4" t="n">
        <v>47665</v>
      </c>
      <c r="C58" t="inlineStr">
        <is>
          <t>Q3</t>
        </is>
      </c>
      <c r="D58" t="inlineStr">
        <is>
          <t>Year 5</t>
        </is>
      </c>
      <c r="E58" t="inlineStr">
        <is>
          <t>Phase 3: Processing</t>
        </is>
      </c>
    </row>
    <row r="59">
      <c r="A59" t="n">
        <v>56</v>
      </c>
      <c r="B59" s="4" t="n">
        <v>47696</v>
      </c>
      <c r="C59" t="inlineStr">
        <is>
          <t>Q3</t>
        </is>
      </c>
      <c r="D59" t="inlineStr">
        <is>
          <t>Year 5</t>
        </is>
      </c>
      <c r="E59" t="inlineStr">
        <is>
          <t>Phase 3: Processing</t>
        </is>
      </c>
    </row>
    <row r="60">
      <c r="A60" t="n">
        <v>57</v>
      </c>
      <c r="B60" s="4" t="n">
        <v>47727</v>
      </c>
      <c r="C60" t="inlineStr">
        <is>
          <t>Q3</t>
        </is>
      </c>
      <c r="D60" t="inlineStr">
        <is>
          <t>Year 5</t>
        </is>
      </c>
      <c r="E60" t="inlineStr">
        <is>
          <t>Phase 3: Processing</t>
        </is>
      </c>
    </row>
    <row r="61">
      <c r="A61" t="n">
        <v>58</v>
      </c>
      <c r="B61" s="4" t="n">
        <v>47757</v>
      </c>
      <c r="C61" t="inlineStr">
        <is>
          <t>Q4</t>
        </is>
      </c>
      <c r="D61" t="inlineStr">
        <is>
          <t>Year 5</t>
        </is>
      </c>
      <c r="E61" t="inlineStr">
        <is>
          <t>Phase 3: Processing</t>
        </is>
      </c>
    </row>
    <row r="62">
      <c r="A62" t="n">
        <v>59</v>
      </c>
      <c r="B62" s="4" t="n">
        <v>47788</v>
      </c>
      <c r="C62" t="inlineStr">
        <is>
          <t>Q4</t>
        </is>
      </c>
      <c r="D62" t="inlineStr">
        <is>
          <t>Year 5</t>
        </is>
      </c>
      <c r="E62" t="inlineStr">
        <is>
          <t>Phase 3: Processing</t>
        </is>
      </c>
    </row>
    <row r="63">
      <c r="A63" t="n">
        <v>60</v>
      </c>
      <c r="B63" s="4" t="n">
        <v>47818</v>
      </c>
      <c r="C63" t="inlineStr">
        <is>
          <t>Q4</t>
        </is>
      </c>
      <c r="D63" t="inlineStr">
        <is>
          <t>Year 5</t>
        </is>
      </c>
      <c r="E63" t="inlineStr">
        <is>
          <t>Phase 3: Processing</t>
        </is>
      </c>
    </row>
    <row r="64">
      <c r="A64" t="n">
        <v>61</v>
      </c>
      <c r="B64" s="4" t="n">
        <v>47849</v>
      </c>
      <c r="C64" t="inlineStr">
        <is>
          <t>Q1</t>
        </is>
      </c>
      <c r="D64" t="inlineStr">
        <is>
          <t>Year 6</t>
        </is>
      </c>
      <c r="E64" t="inlineStr">
        <is>
          <t>Phase 3: Processing</t>
        </is>
      </c>
    </row>
    <row r="65">
      <c r="A65" t="n">
        <v>62</v>
      </c>
      <c r="B65" s="4" t="n">
        <v>47880</v>
      </c>
      <c r="C65" t="inlineStr">
        <is>
          <t>Q1</t>
        </is>
      </c>
      <c r="D65" t="inlineStr">
        <is>
          <t>Year 6</t>
        </is>
      </c>
      <c r="E65" t="inlineStr">
        <is>
          <t>Phase 3: Processing</t>
        </is>
      </c>
    </row>
    <row r="66">
      <c r="A66" t="n">
        <v>63</v>
      </c>
      <c r="B66" s="4" t="n">
        <v>47908</v>
      </c>
      <c r="C66" t="inlineStr">
        <is>
          <t>Q1</t>
        </is>
      </c>
      <c r="D66" t="inlineStr">
        <is>
          <t>Year 6</t>
        </is>
      </c>
      <c r="E66" t="inlineStr">
        <is>
          <t>Phase 3: Processing</t>
        </is>
      </c>
    </row>
    <row r="67">
      <c r="A67" t="n">
        <v>64</v>
      </c>
      <c r="B67" s="4" t="n">
        <v>47939</v>
      </c>
      <c r="C67" t="inlineStr">
        <is>
          <t>Q2</t>
        </is>
      </c>
      <c r="D67" t="inlineStr">
        <is>
          <t>Year 6</t>
        </is>
      </c>
      <c r="E67" t="inlineStr">
        <is>
          <t>Phase 3: Processing</t>
        </is>
      </c>
    </row>
    <row r="68">
      <c r="A68" t="n">
        <v>65</v>
      </c>
      <c r="B68" s="4" t="n">
        <v>47969</v>
      </c>
      <c r="C68" t="inlineStr">
        <is>
          <t>Q2</t>
        </is>
      </c>
      <c r="D68" t="inlineStr">
        <is>
          <t>Year 6</t>
        </is>
      </c>
      <c r="E68" t="inlineStr">
        <is>
          <t>Phase 3: Processing</t>
        </is>
      </c>
    </row>
    <row r="69">
      <c r="A69" t="n">
        <v>66</v>
      </c>
      <c r="B69" s="4" t="n">
        <v>48000</v>
      </c>
      <c r="C69" t="inlineStr">
        <is>
          <t>Q2</t>
        </is>
      </c>
      <c r="D69" t="inlineStr">
        <is>
          <t>Year 6</t>
        </is>
      </c>
      <c r="E69" t="inlineStr">
        <is>
          <t>Phase 3: Processing</t>
        </is>
      </c>
    </row>
    <row r="70">
      <c r="A70" t="n">
        <v>67</v>
      </c>
      <c r="B70" s="4" t="n">
        <v>48030</v>
      </c>
      <c r="C70" t="inlineStr">
        <is>
          <t>Q3</t>
        </is>
      </c>
      <c r="D70" t="inlineStr">
        <is>
          <t>Year 6</t>
        </is>
      </c>
      <c r="E70" t="inlineStr">
        <is>
          <t>Phase 3: Processing</t>
        </is>
      </c>
    </row>
    <row r="71">
      <c r="A71" t="n">
        <v>68</v>
      </c>
      <c r="B71" s="4" t="n">
        <v>48061</v>
      </c>
      <c r="C71" t="inlineStr">
        <is>
          <t>Q3</t>
        </is>
      </c>
      <c r="D71" t="inlineStr">
        <is>
          <t>Year 6</t>
        </is>
      </c>
      <c r="E71" t="inlineStr">
        <is>
          <t>Phase 3: Processing</t>
        </is>
      </c>
    </row>
    <row r="72">
      <c r="A72" t="n">
        <v>69</v>
      </c>
      <c r="B72" s="4" t="n">
        <v>48092</v>
      </c>
      <c r="C72" t="inlineStr">
        <is>
          <t>Q3</t>
        </is>
      </c>
      <c r="D72" t="inlineStr">
        <is>
          <t>Year 6</t>
        </is>
      </c>
      <c r="E72" t="inlineStr">
        <is>
          <t>Phase 3: Processing</t>
        </is>
      </c>
    </row>
    <row r="73">
      <c r="A73" t="n">
        <v>70</v>
      </c>
      <c r="B73" s="4" t="n">
        <v>48122</v>
      </c>
      <c r="C73" t="inlineStr">
        <is>
          <t>Q4</t>
        </is>
      </c>
      <c r="D73" t="inlineStr">
        <is>
          <t>Year 6</t>
        </is>
      </c>
      <c r="E73" t="inlineStr">
        <is>
          <t>Phase 3: Processing</t>
        </is>
      </c>
    </row>
    <row r="74">
      <c r="A74" t="n">
        <v>71</v>
      </c>
      <c r="B74" s="4" t="n">
        <v>48153</v>
      </c>
      <c r="C74" t="inlineStr">
        <is>
          <t>Q4</t>
        </is>
      </c>
      <c r="D74" t="inlineStr">
        <is>
          <t>Year 6</t>
        </is>
      </c>
      <c r="E74" t="inlineStr">
        <is>
          <t>Phase 3: Processing</t>
        </is>
      </c>
    </row>
    <row r="75">
      <c r="A75" t="n">
        <v>72</v>
      </c>
      <c r="B75" s="4" t="n">
        <v>48183</v>
      </c>
      <c r="C75" t="inlineStr">
        <is>
          <t>Q4</t>
        </is>
      </c>
      <c r="D75" t="inlineStr">
        <is>
          <t>Year 6</t>
        </is>
      </c>
      <c r="E75" t="inlineStr">
        <is>
          <t>Phase 3: Processing</t>
        </is>
      </c>
    </row>
    <row r="76">
      <c r="A76" t="n">
        <v>73</v>
      </c>
      <c r="B76" s="4" t="n">
        <v>48214</v>
      </c>
      <c r="C76" t="inlineStr">
        <is>
          <t>Q1</t>
        </is>
      </c>
      <c r="D76" t="inlineStr">
        <is>
          <t>Year 7</t>
        </is>
      </c>
      <c r="E76" t="inlineStr">
        <is>
          <t>Phase 3: Processing</t>
        </is>
      </c>
    </row>
    <row r="77">
      <c r="A77" t="n">
        <v>74</v>
      </c>
      <c r="B77" s="4" t="n">
        <v>48245</v>
      </c>
      <c r="C77" t="inlineStr">
        <is>
          <t>Q1</t>
        </is>
      </c>
      <c r="D77" t="inlineStr">
        <is>
          <t>Year 7</t>
        </is>
      </c>
      <c r="E77" t="inlineStr">
        <is>
          <t>Phase 3: Processing</t>
        </is>
      </c>
    </row>
    <row r="78">
      <c r="A78" t="n">
        <v>75</v>
      </c>
      <c r="B78" s="4" t="n">
        <v>48274</v>
      </c>
      <c r="C78" t="inlineStr">
        <is>
          <t>Q1</t>
        </is>
      </c>
      <c r="D78" t="inlineStr">
        <is>
          <t>Year 7</t>
        </is>
      </c>
      <c r="E78" t="inlineStr">
        <is>
          <t>Phase 3: Processing</t>
        </is>
      </c>
    </row>
    <row r="79">
      <c r="A79" t="n">
        <v>76</v>
      </c>
      <c r="B79" s="4" t="n">
        <v>48305</v>
      </c>
      <c r="C79" t="inlineStr">
        <is>
          <t>Q2</t>
        </is>
      </c>
      <c r="D79" t="inlineStr">
        <is>
          <t>Year 7</t>
        </is>
      </c>
      <c r="E79" t="inlineStr">
        <is>
          <t>Phase 3: Processing</t>
        </is>
      </c>
    </row>
    <row r="80">
      <c r="A80" t="n">
        <v>77</v>
      </c>
      <c r="B80" s="4" t="n">
        <v>48335</v>
      </c>
      <c r="C80" t="inlineStr">
        <is>
          <t>Q2</t>
        </is>
      </c>
      <c r="D80" t="inlineStr">
        <is>
          <t>Year 7</t>
        </is>
      </c>
      <c r="E80" t="inlineStr">
        <is>
          <t>Phase 3: Processing</t>
        </is>
      </c>
    </row>
    <row r="81">
      <c r="A81" t="n">
        <v>78</v>
      </c>
      <c r="B81" s="4" t="n">
        <v>48366</v>
      </c>
      <c r="C81" t="inlineStr">
        <is>
          <t>Q2</t>
        </is>
      </c>
      <c r="D81" t="inlineStr">
        <is>
          <t>Year 7</t>
        </is>
      </c>
      <c r="E81" t="inlineStr">
        <is>
          <t>Phase 3: Processing</t>
        </is>
      </c>
    </row>
    <row r="82">
      <c r="A82" t="n">
        <v>79</v>
      </c>
      <c r="B82" s="4" t="n">
        <v>48396</v>
      </c>
      <c r="C82" t="inlineStr">
        <is>
          <t>Q3</t>
        </is>
      </c>
      <c r="D82" t="inlineStr">
        <is>
          <t>Year 7</t>
        </is>
      </c>
      <c r="E82" t="inlineStr">
        <is>
          <t>Phase 4: Logistics</t>
        </is>
      </c>
    </row>
    <row r="83">
      <c r="A83" t="n">
        <v>80</v>
      </c>
      <c r="B83" s="4" t="n">
        <v>48427</v>
      </c>
      <c r="C83" t="inlineStr">
        <is>
          <t>Q3</t>
        </is>
      </c>
      <c r="D83" t="inlineStr">
        <is>
          <t>Year 7</t>
        </is>
      </c>
      <c r="E83" t="inlineStr">
        <is>
          <t>Phase 4: Logistics</t>
        </is>
      </c>
    </row>
    <row r="84">
      <c r="A84" t="n">
        <v>81</v>
      </c>
      <c r="B84" s="4" t="n">
        <v>48458</v>
      </c>
      <c r="C84" t="inlineStr">
        <is>
          <t>Q3</t>
        </is>
      </c>
      <c r="D84" t="inlineStr">
        <is>
          <t>Year 7</t>
        </is>
      </c>
      <c r="E84" t="inlineStr">
        <is>
          <t>Phase 4: Logistics</t>
        </is>
      </c>
    </row>
    <row r="85">
      <c r="A85" t="n">
        <v>82</v>
      </c>
      <c r="B85" s="4" t="n">
        <v>48488</v>
      </c>
      <c r="C85" t="inlineStr">
        <is>
          <t>Q4</t>
        </is>
      </c>
      <c r="D85" t="inlineStr">
        <is>
          <t>Year 7</t>
        </is>
      </c>
      <c r="E85" t="inlineStr">
        <is>
          <t>Phase 4: Logistics</t>
        </is>
      </c>
    </row>
    <row r="86">
      <c r="A86" t="n">
        <v>83</v>
      </c>
      <c r="B86" s="4" t="n">
        <v>48519</v>
      </c>
      <c r="C86" t="inlineStr">
        <is>
          <t>Q4</t>
        </is>
      </c>
      <c r="D86" t="inlineStr">
        <is>
          <t>Year 7</t>
        </is>
      </c>
      <c r="E86" t="inlineStr">
        <is>
          <t>Phase 4: Logistics</t>
        </is>
      </c>
    </row>
    <row r="87">
      <c r="A87" t="n">
        <v>84</v>
      </c>
      <c r="B87" s="4" t="n">
        <v>48549</v>
      </c>
      <c r="C87" t="inlineStr">
        <is>
          <t>Q4</t>
        </is>
      </c>
      <c r="D87" t="inlineStr">
        <is>
          <t>Year 7</t>
        </is>
      </c>
      <c r="E87" t="inlineStr">
        <is>
          <t>Phase 4: Logistics</t>
        </is>
      </c>
    </row>
    <row r="88">
      <c r="A88" t="n">
        <v>85</v>
      </c>
      <c r="B88" s="4" t="n">
        <v>48580</v>
      </c>
      <c r="C88" t="inlineStr">
        <is>
          <t>Q1</t>
        </is>
      </c>
      <c r="D88" t="inlineStr">
        <is>
          <t>Year 8</t>
        </is>
      </c>
      <c r="E88" t="inlineStr">
        <is>
          <t>Phase 4: Logistics</t>
        </is>
      </c>
    </row>
    <row r="89">
      <c r="A89" t="n">
        <v>86</v>
      </c>
      <c r="B89" s="4" t="n">
        <v>48611</v>
      </c>
      <c r="C89" t="inlineStr">
        <is>
          <t>Q1</t>
        </is>
      </c>
      <c r="D89" t="inlineStr">
        <is>
          <t>Year 8</t>
        </is>
      </c>
      <c r="E89" t="inlineStr">
        <is>
          <t>Phase 4: Logistics</t>
        </is>
      </c>
    </row>
    <row r="90">
      <c r="A90" t="n">
        <v>87</v>
      </c>
      <c r="B90" s="4" t="n">
        <v>48639</v>
      </c>
      <c r="C90" t="inlineStr">
        <is>
          <t>Q1</t>
        </is>
      </c>
      <c r="D90" t="inlineStr">
        <is>
          <t>Year 8</t>
        </is>
      </c>
      <c r="E90" t="inlineStr">
        <is>
          <t>Phase 4: Logistics</t>
        </is>
      </c>
    </row>
    <row r="91">
      <c r="A91" t="n">
        <v>88</v>
      </c>
      <c r="B91" s="4" t="n">
        <v>48670</v>
      </c>
      <c r="C91" t="inlineStr">
        <is>
          <t>Q2</t>
        </is>
      </c>
      <c r="D91" t="inlineStr">
        <is>
          <t>Year 8</t>
        </is>
      </c>
      <c r="E91" t="inlineStr">
        <is>
          <t>Phase 4: Logistics</t>
        </is>
      </c>
    </row>
    <row r="92">
      <c r="A92" t="n">
        <v>89</v>
      </c>
      <c r="B92" s="4" t="n">
        <v>48700</v>
      </c>
      <c r="C92" t="inlineStr">
        <is>
          <t>Q2</t>
        </is>
      </c>
      <c r="D92" t="inlineStr">
        <is>
          <t>Year 8</t>
        </is>
      </c>
      <c r="E92" t="inlineStr">
        <is>
          <t>Phase 4: Logistics</t>
        </is>
      </c>
    </row>
    <row r="93">
      <c r="A93" t="n">
        <v>90</v>
      </c>
      <c r="B93" s="4" t="n">
        <v>48731</v>
      </c>
      <c r="C93" t="inlineStr">
        <is>
          <t>Q2</t>
        </is>
      </c>
      <c r="D93" t="inlineStr">
        <is>
          <t>Year 8</t>
        </is>
      </c>
      <c r="E93" t="inlineStr">
        <is>
          <t>Phase 4: Logistics</t>
        </is>
      </c>
    </row>
    <row r="94">
      <c r="A94" t="n">
        <v>91</v>
      </c>
      <c r="B94" s="4" t="n">
        <v>48761</v>
      </c>
      <c r="C94" t="inlineStr">
        <is>
          <t>Q3</t>
        </is>
      </c>
      <c r="D94" t="inlineStr">
        <is>
          <t>Year 8</t>
        </is>
      </c>
      <c r="E94" t="inlineStr">
        <is>
          <t>Phase 4: Logistics</t>
        </is>
      </c>
    </row>
    <row r="95">
      <c r="A95" t="n">
        <v>92</v>
      </c>
      <c r="B95" s="4" t="n">
        <v>48792</v>
      </c>
      <c r="C95" t="inlineStr">
        <is>
          <t>Q3</t>
        </is>
      </c>
      <c r="D95" t="inlineStr">
        <is>
          <t>Year 8</t>
        </is>
      </c>
      <c r="E95" t="inlineStr">
        <is>
          <t>Phase 4: Logistics</t>
        </is>
      </c>
    </row>
    <row r="96">
      <c r="A96" t="n">
        <v>93</v>
      </c>
      <c r="B96" s="4" t="n">
        <v>48823</v>
      </c>
      <c r="C96" t="inlineStr">
        <is>
          <t>Q3</t>
        </is>
      </c>
      <c r="D96" t="inlineStr">
        <is>
          <t>Year 8</t>
        </is>
      </c>
      <c r="E96" t="inlineStr">
        <is>
          <t>Phase 4: Logistics</t>
        </is>
      </c>
    </row>
    <row r="97">
      <c r="A97" t="n">
        <v>94</v>
      </c>
      <c r="B97" s="4" t="n">
        <v>48853</v>
      </c>
      <c r="C97" t="inlineStr">
        <is>
          <t>Q4</t>
        </is>
      </c>
      <c r="D97" t="inlineStr">
        <is>
          <t>Year 8</t>
        </is>
      </c>
      <c r="E97" t="inlineStr">
        <is>
          <t>Phase 4: Logistics</t>
        </is>
      </c>
    </row>
    <row r="98">
      <c r="A98" t="n">
        <v>95</v>
      </c>
      <c r="B98" s="4" t="n">
        <v>48884</v>
      </c>
      <c r="C98" t="inlineStr">
        <is>
          <t>Q4</t>
        </is>
      </c>
      <c r="D98" t="inlineStr">
        <is>
          <t>Year 8</t>
        </is>
      </c>
      <c r="E98" t="inlineStr">
        <is>
          <t>Phase 4: Logistics</t>
        </is>
      </c>
    </row>
    <row r="99">
      <c r="A99" t="n">
        <v>96</v>
      </c>
      <c r="B99" s="4" t="n">
        <v>48914</v>
      </c>
      <c r="C99" t="inlineStr">
        <is>
          <t>Q4</t>
        </is>
      </c>
      <c r="D99" t="inlineStr">
        <is>
          <t>Year 8</t>
        </is>
      </c>
      <c r="E99" t="inlineStr">
        <is>
          <t>Phase 4: Logistics</t>
        </is>
      </c>
    </row>
    <row r="100">
      <c r="A100" t="n">
        <v>97</v>
      </c>
      <c r="B100" s="4" t="n">
        <v>48945</v>
      </c>
      <c r="C100" t="inlineStr">
        <is>
          <t>Q1</t>
        </is>
      </c>
      <c r="D100" t="inlineStr">
        <is>
          <t>Year 9</t>
        </is>
      </c>
      <c r="E100" t="inlineStr">
        <is>
          <t>Phase 5: Circular</t>
        </is>
      </c>
    </row>
    <row r="101">
      <c r="A101" t="n">
        <v>98</v>
      </c>
      <c r="B101" s="4" t="n">
        <v>48976</v>
      </c>
      <c r="C101" t="inlineStr">
        <is>
          <t>Q1</t>
        </is>
      </c>
      <c r="D101" t="inlineStr">
        <is>
          <t>Year 9</t>
        </is>
      </c>
      <c r="E101" t="inlineStr">
        <is>
          <t>Phase 5: Circular</t>
        </is>
      </c>
    </row>
    <row r="102">
      <c r="A102" t="n">
        <v>99</v>
      </c>
      <c r="B102" s="4" t="n">
        <v>49004</v>
      </c>
      <c r="C102" t="inlineStr">
        <is>
          <t>Q1</t>
        </is>
      </c>
      <c r="D102" t="inlineStr">
        <is>
          <t>Year 9</t>
        </is>
      </c>
      <c r="E102" t="inlineStr">
        <is>
          <t>Phase 5: Circular</t>
        </is>
      </c>
    </row>
    <row r="103">
      <c r="A103" t="n">
        <v>100</v>
      </c>
      <c r="B103" s="4" t="n">
        <v>49035</v>
      </c>
      <c r="C103" t="inlineStr">
        <is>
          <t>Q2</t>
        </is>
      </c>
      <c r="D103" t="inlineStr">
        <is>
          <t>Year 9</t>
        </is>
      </c>
      <c r="E103" t="inlineStr">
        <is>
          <t>Phase 5: Circular</t>
        </is>
      </c>
    </row>
    <row r="104">
      <c r="A104" t="n">
        <v>101</v>
      </c>
      <c r="B104" s="4" t="n">
        <v>49065</v>
      </c>
      <c r="C104" t="inlineStr">
        <is>
          <t>Q2</t>
        </is>
      </c>
      <c r="D104" t="inlineStr">
        <is>
          <t>Year 9</t>
        </is>
      </c>
      <c r="E104" t="inlineStr">
        <is>
          <t>Phase 5: Circular</t>
        </is>
      </c>
    </row>
    <row r="105">
      <c r="A105" t="n">
        <v>102</v>
      </c>
      <c r="B105" s="4" t="n">
        <v>49096</v>
      </c>
      <c r="C105" t="inlineStr">
        <is>
          <t>Q2</t>
        </is>
      </c>
      <c r="D105" t="inlineStr">
        <is>
          <t>Year 9</t>
        </is>
      </c>
      <c r="E105" t="inlineStr">
        <is>
          <t>Phase 5: Circular</t>
        </is>
      </c>
    </row>
    <row r="106">
      <c r="A106" t="n">
        <v>103</v>
      </c>
      <c r="B106" s="4" t="n">
        <v>49126</v>
      </c>
      <c r="C106" t="inlineStr">
        <is>
          <t>Q3</t>
        </is>
      </c>
      <c r="D106" t="inlineStr">
        <is>
          <t>Year 9</t>
        </is>
      </c>
      <c r="E106" t="inlineStr">
        <is>
          <t>Phase 5: Circular</t>
        </is>
      </c>
    </row>
    <row r="107">
      <c r="A107" t="n">
        <v>104</v>
      </c>
      <c r="B107" s="4" t="n">
        <v>49157</v>
      </c>
      <c r="C107" t="inlineStr">
        <is>
          <t>Q3</t>
        </is>
      </c>
      <c r="D107" t="inlineStr">
        <is>
          <t>Year 9</t>
        </is>
      </c>
      <c r="E107" t="inlineStr">
        <is>
          <t>Phase 5: Circular</t>
        </is>
      </c>
    </row>
    <row r="108">
      <c r="A108" t="n">
        <v>105</v>
      </c>
      <c r="B108" s="4" t="n">
        <v>49188</v>
      </c>
      <c r="C108" t="inlineStr">
        <is>
          <t>Q3</t>
        </is>
      </c>
      <c r="D108" t="inlineStr">
        <is>
          <t>Year 9</t>
        </is>
      </c>
      <c r="E108" t="inlineStr">
        <is>
          <t>Phase 5: Circular</t>
        </is>
      </c>
    </row>
    <row r="109">
      <c r="A109" t="n">
        <v>106</v>
      </c>
      <c r="B109" s="4" t="n">
        <v>49218</v>
      </c>
      <c r="C109" t="inlineStr">
        <is>
          <t>Q4</t>
        </is>
      </c>
      <c r="D109" t="inlineStr">
        <is>
          <t>Year 9</t>
        </is>
      </c>
      <c r="E109" t="inlineStr">
        <is>
          <t>Phase 5: Circular</t>
        </is>
      </c>
    </row>
    <row r="110">
      <c r="A110" t="n">
        <v>107</v>
      </c>
      <c r="B110" s="4" t="n">
        <v>49249</v>
      </c>
      <c r="C110" t="inlineStr">
        <is>
          <t>Q4</t>
        </is>
      </c>
      <c r="D110" t="inlineStr">
        <is>
          <t>Year 9</t>
        </is>
      </c>
      <c r="E110" t="inlineStr">
        <is>
          <t>Phase 5: Circular</t>
        </is>
      </c>
    </row>
    <row r="111">
      <c r="A111" t="n">
        <v>108</v>
      </c>
      <c r="B111" s="4" t="n">
        <v>49279</v>
      </c>
      <c r="C111" t="inlineStr">
        <is>
          <t>Q4</t>
        </is>
      </c>
      <c r="D111" t="inlineStr">
        <is>
          <t>Year 9</t>
        </is>
      </c>
      <c r="E111" t="inlineStr">
        <is>
          <t>Phase 5: Circular</t>
        </is>
      </c>
    </row>
    <row r="112">
      <c r="A112" t="n">
        <v>109</v>
      </c>
      <c r="B112" s="4" t="n">
        <v>49310</v>
      </c>
      <c r="C112" t="inlineStr">
        <is>
          <t>Q1</t>
        </is>
      </c>
      <c r="D112" t="inlineStr">
        <is>
          <t>Year 10</t>
        </is>
      </c>
      <c r="E112" t="inlineStr">
        <is>
          <t>Phase 5: Circular</t>
        </is>
      </c>
    </row>
    <row r="113">
      <c r="A113" t="n">
        <v>110</v>
      </c>
      <c r="B113" s="4" t="n">
        <v>49341</v>
      </c>
      <c r="C113" t="inlineStr">
        <is>
          <t>Q1</t>
        </is>
      </c>
      <c r="D113" t="inlineStr">
        <is>
          <t>Year 10</t>
        </is>
      </c>
      <c r="E113" t="inlineStr">
        <is>
          <t>Phase 5: Circular</t>
        </is>
      </c>
    </row>
    <row r="114">
      <c r="A114" t="n">
        <v>111</v>
      </c>
      <c r="B114" s="4" t="n">
        <v>49369</v>
      </c>
      <c r="C114" t="inlineStr">
        <is>
          <t>Q1</t>
        </is>
      </c>
      <c r="D114" t="inlineStr">
        <is>
          <t>Year 10</t>
        </is>
      </c>
      <c r="E114" t="inlineStr">
        <is>
          <t>Phase 5: Circular</t>
        </is>
      </c>
    </row>
    <row r="115">
      <c r="A115" t="n">
        <v>112</v>
      </c>
      <c r="B115" s="4" t="n">
        <v>49400</v>
      </c>
      <c r="C115" t="inlineStr">
        <is>
          <t>Q2</t>
        </is>
      </c>
      <c r="D115" t="inlineStr">
        <is>
          <t>Year 10</t>
        </is>
      </c>
      <c r="E115" t="inlineStr">
        <is>
          <t>Phase 5: Circular</t>
        </is>
      </c>
    </row>
    <row r="116">
      <c r="A116" t="n">
        <v>113</v>
      </c>
      <c r="B116" s="4" t="n">
        <v>49430</v>
      </c>
      <c r="C116" t="inlineStr">
        <is>
          <t>Q2</t>
        </is>
      </c>
      <c r="D116" t="inlineStr">
        <is>
          <t>Year 10</t>
        </is>
      </c>
      <c r="E116" t="inlineStr">
        <is>
          <t>Phase 5: Circular</t>
        </is>
      </c>
    </row>
    <row r="117">
      <c r="A117" t="n">
        <v>114</v>
      </c>
      <c r="B117" s="4" t="n">
        <v>49461</v>
      </c>
      <c r="C117" t="inlineStr">
        <is>
          <t>Q2</t>
        </is>
      </c>
      <c r="D117" t="inlineStr">
        <is>
          <t>Year 10</t>
        </is>
      </c>
      <c r="E117" t="inlineStr">
        <is>
          <t>Phase 5: Circular</t>
        </is>
      </c>
    </row>
    <row r="118">
      <c r="A118" t="n">
        <v>115</v>
      </c>
      <c r="B118" s="4" t="n">
        <v>49491</v>
      </c>
      <c r="C118" t="inlineStr">
        <is>
          <t>Q3</t>
        </is>
      </c>
      <c r="D118" t="inlineStr">
        <is>
          <t>Year 10</t>
        </is>
      </c>
      <c r="E118" t="inlineStr">
        <is>
          <t>Phase 5: Circular</t>
        </is>
      </c>
    </row>
    <row r="119">
      <c r="A119" t="n">
        <v>116</v>
      </c>
      <c r="B119" s="4" t="n">
        <v>49522</v>
      </c>
      <c r="C119" t="inlineStr">
        <is>
          <t>Q3</t>
        </is>
      </c>
      <c r="D119" t="inlineStr">
        <is>
          <t>Year 10</t>
        </is>
      </c>
      <c r="E119" t="inlineStr">
        <is>
          <t>Phase 5: Circular</t>
        </is>
      </c>
    </row>
    <row r="120">
      <c r="A120" t="n">
        <v>117</v>
      </c>
      <c r="B120" s="4" t="n">
        <v>49553</v>
      </c>
      <c r="C120" t="inlineStr">
        <is>
          <t>Q3</t>
        </is>
      </c>
      <c r="D120" t="inlineStr">
        <is>
          <t>Year 10</t>
        </is>
      </c>
      <c r="E120" t="inlineStr">
        <is>
          <t>Phase 5: Circular</t>
        </is>
      </c>
    </row>
    <row r="121">
      <c r="A121" t="n">
        <v>118</v>
      </c>
      <c r="B121" s="4" t="n">
        <v>49583</v>
      </c>
      <c r="C121" t="inlineStr">
        <is>
          <t>Q4</t>
        </is>
      </c>
      <c r="D121" t="inlineStr">
        <is>
          <t>Year 10</t>
        </is>
      </c>
      <c r="E121" t="inlineStr">
        <is>
          <t>Phase 5: Circular</t>
        </is>
      </c>
    </row>
    <row r="122">
      <c r="A122" t="n">
        <v>119</v>
      </c>
      <c r="B122" s="4" t="n">
        <v>49614</v>
      </c>
      <c r="C122" t="inlineStr">
        <is>
          <t>Q4</t>
        </is>
      </c>
      <c r="D122" t="inlineStr">
        <is>
          <t>Year 10</t>
        </is>
      </c>
      <c r="E122" t="inlineStr">
        <is>
          <t>Phase 5: Circular</t>
        </is>
      </c>
    </row>
    <row r="123">
      <c r="A123" t="n">
        <v>120</v>
      </c>
      <c r="B123" s="4" t="n">
        <v>49644</v>
      </c>
      <c r="C123" t="inlineStr">
        <is>
          <t>Q4</t>
        </is>
      </c>
      <c r="D123" t="inlineStr">
        <is>
          <t>Year 10</t>
        </is>
      </c>
      <c r="E123" t="inlineStr">
        <is>
          <t>Phase 5: Circular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7" t="inlineStr">
        <is>
          <t>REVENUE CALCULATIONS</t>
        </is>
      </c>
    </row>
    <row r="3">
      <c r="A3" t="inlineStr">
        <is>
          <t>Revenue Stream</t>
        </is>
      </c>
      <c r="B3" t="inlineStr">
        <is>
          <t>Unit</t>
        </is>
      </c>
      <c r="C3" s="17" t="inlineStr">
        <is>
          <t>Year 1</t>
        </is>
      </c>
      <c r="D3" s="17" t="inlineStr">
        <is>
          <t>Year 2</t>
        </is>
      </c>
      <c r="E3" s="17" t="inlineStr">
        <is>
          <t>Year 3</t>
        </is>
      </c>
      <c r="F3" s="17" t="inlineStr">
        <is>
          <t>Year 4</t>
        </is>
      </c>
      <c r="G3" s="17" t="inlineStr">
        <is>
          <t>Year 5</t>
        </is>
      </c>
      <c r="H3" s="17" t="inlineStr">
        <is>
          <t>Year 6</t>
        </is>
      </c>
      <c r="I3" s="17" t="inlineStr">
        <is>
          <t>Year 7</t>
        </is>
      </c>
      <c r="J3" s="17" t="inlineStr">
        <is>
          <t>Year 8</t>
        </is>
      </c>
      <c r="K3" s="17" t="inlineStr">
        <is>
          <t>Year 9</t>
        </is>
      </c>
      <c r="L3" s="17" t="inlineStr">
        <is>
          <t>Year 10</t>
        </is>
      </c>
    </row>
    <row r="4">
      <c r="A4" s="18" t="inlineStr">
        <is>
          <t>SEED REVENUE</t>
        </is>
      </c>
      <c r="B4" t="inlineStr"/>
    </row>
    <row r="5">
      <c r="A5" t="inlineStr">
        <is>
          <t>G1 seed sales volume</t>
        </is>
      </c>
      <c r="B5" t="inlineStr">
        <is>
          <t>kg</t>
        </is>
      </c>
      <c r="C5">
        <f>Assumptions!$C$15*1000</f>
        <v/>
      </c>
      <c r="D5">
        <f>Assumptions!$C$15*1000</f>
        <v/>
      </c>
      <c r="E5">
        <f>Assumptions!$C$15*1000</f>
        <v/>
      </c>
      <c r="F5">
        <f>Assumptions!$C$15*1000</f>
        <v/>
      </c>
      <c r="G5">
        <f>Assumptions!$C$15*1000</f>
        <v/>
      </c>
      <c r="H5">
        <f>Assumptions!$C$15*1000</f>
        <v/>
      </c>
      <c r="I5">
        <f>Assumptions!$C$15*1000</f>
        <v/>
      </c>
      <c r="J5">
        <f>Assumptions!$C$15*1000</f>
        <v/>
      </c>
      <c r="K5">
        <f>Assumptions!$C$15*1000</f>
        <v/>
      </c>
      <c r="L5">
        <f>Assumptions!$C$15*1000</f>
        <v/>
      </c>
    </row>
    <row r="6">
      <c r="A6" t="inlineStr">
        <is>
          <t>G1 seed price</t>
        </is>
      </c>
      <c r="B6" t="inlineStr">
        <is>
          <t>XAF/kg</t>
        </is>
      </c>
      <c r="C6">
        <f>Assumptions!$C$45*(1+Assumptions!$C$46/100)^(1-1)</f>
        <v/>
      </c>
      <c r="D6">
        <f>Assumptions!$C$45*(1+Assumptions!$C$46/100)^(2-1)</f>
        <v/>
      </c>
      <c r="E6">
        <f>Assumptions!$C$45*(1+Assumptions!$C$46/100)^(3-1)</f>
        <v/>
      </c>
      <c r="F6">
        <f>Assumptions!$C$45*(1+Assumptions!$C$46/100)^(4-1)</f>
        <v/>
      </c>
      <c r="G6">
        <f>Assumptions!$C$45*(1+Assumptions!$C$46/100)^(5-1)</f>
        <v/>
      </c>
      <c r="H6">
        <f>Assumptions!$C$45*(1+Assumptions!$C$46/100)^(6-1)</f>
        <v/>
      </c>
      <c r="I6">
        <f>Assumptions!$C$45*(1+Assumptions!$C$46/100)^(7-1)</f>
        <v/>
      </c>
      <c r="J6">
        <f>Assumptions!$C$45*(1+Assumptions!$C$46/100)^(8-1)</f>
        <v/>
      </c>
      <c r="K6">
        <f>Assumptions!$C$45*(1+Assumptions!$C$46/100)^(9-1)</f>
        <v/>
      </c>
      <c r="L6">
        <f>Assumptions!$C$45*(1+Assumptions!$C$46/100)^(10-1)</f>
        <v/>
      </c>
    </row>
    <row r="7">
      <c r="A7" t="inlineStr">
        <is>
          <t>Seed revenue</t>
        </is>
      </c>
      <c r="B7" t="inlineStr">
        <is>
          <t>XAF</t>
        </is>
      </c>
      <c r="C7" s="3">
        <f>C5*C6</f>
        <v/>
      </c>
      <c r="D7" s="3">
        <f>D5*D6</f>
        <v/>
      </c>
      <c r="E7" s="3">
        <f>E5*E6</f>
        <v/>
      </c>
      <c r="F7" s="3">
        <f>F5*F6</f>
        <v/>
      </c>
      <c r="G7" s="3">
        <f>G5*G6</f>
        <v/>
      </c>
      <c r="H7" s="3">
        <f>H5*H6</f>
        <v/>
      </c>
      <c r="I7" s="3">
        <f>I5*I6</f>
        <v/>
      </c>
      <c r="J7" s="3">
        <f>J5*J6</f>
        <v/>
      </c>
      <c r="K7" s="3">
        <f>K5*K6</f>
        <v/>
      </c>
      <c r="L7" s="3">
        <f>L5*L6</f>
        <v/>
      </c>
    </row>
    <row r="8">
      <c r="A8" t="inlineStr"/>
      <c r="B8" t="inlineStr"/>
    </row>
    <row r="9">
      <c r="A9" s="18" t="inlineStr">
        <is>
          <t>WARE POTATO REVENUE</t>
        </is>
      </c>
      <c r="B9" t="inlineStr"/>
    </row>
    <row r="10">
      <c r="A10" t="inlineStr">
        <is>
          <t>Outgrower harvest volume</t>
        </is>
      </c>
      <c r="B10" t="inlineStr">
        <is>
          <t>tonnes</t>
        </is>
      </c>
      <c r="C10">
        <f>Assumptions!$C$23*Assumptions!$C$26*Assumptions!$C$27</f>
        <v/>
      </c>
      <c r="D10">
        <f>Assumptions!$C$24*Assumptions!$C$26*Assumptions!$C$27</f>
        <v/>
      </c>
      <c r="E10">
        <f>Assumptions!$C$25*Assumptions!$C$26*Assumptions!$C$27</f>
        <v/>
      </c>
      <c r="F10">
        <f>Assumptions!$C$25*Assumptions!$C$26*Assumptions!$C$27</f>
        <v/>
      </c>
      <c r="G10">
        <f>Assumptions!$C$25*Assumptions!$C$26*Assumptions!$C$27</f>
        <v/>
      </c>
      <c r="H10">
        <f>Assumptions!$C$25*Assumptions!$C$26*Assumptions!$C$27</f>
        <v/>
      </c>
      <c r="I10">
        <f>Assumptions!$C$25*Assumptions!$C$26*Assumptions!$C$27</f>
        <v/>
      </c>
      <c r="J10">
        <f>Assumptions!$C$25*Assumptions!$C$26*Assumptions!$C$27</f>
        <v/>
      </c>
      <c r="K10">
        <f>Assumptions!$C$25*Assumptions!$C$26*Assumptions!$C$27</f>
        <v/>
      </c>
      <c r="L10">
        <f>Assumptions!$C$25*Assumptions!$C$26*Assumptions!$C$27</f>
        <v/>
      </c>
    </row>
    <row r="11">
      <c r="A11" t="inlineStr">
        <is>
          <t>Farmgate purchase value</t>
        </is>
      </c>
      <c r="B11" t="inlineStr">
        <is>
          <t>XAF</t>
        </is>
      </c>
    </row>
    <row r="12">
      <c r="A12" t="inlineStr"/>
      <c r="B12" t="inlineStr"/>
    </row>
    <row r="13">
      <c r="A13" s="18" t="inlineStr">
        <is>
          <t>PROCESSED PRODUCTS REVENUE</t>
        </is>
      </c>
      <c r="B13" t="inlineStr"/>
    </row>
    <row r="14">
      <c r="A14" t="inlineStr">
        <is>
          <t>French fries sales volume</t>
        </is>
      </c>
      <c r="B14" t="inlineStr">
        <is>
          <t>tonnes</t>
        </is>
      </c>
      <c r="C14">
        <f>Assumptions!$C$47*Assumptions!$C$48*Assumptions!$C$49*Assumptions!$C$50/100*Assumptions!$C$68/100</f>
        <v/>
      </c>
      <c r="D14">
        <f>Assumptions!$C$47*Assumptions!$C$48*Assumptions!$C$49*Assumptions!$C$51/100*Assumptions!$C$68/100</f>
        <v/>
      </c>
      <c r="E14">
        <f>Assumptions!$C$47*Assumptions!$C$48*Assumptions!$C$49*Assumptions!$C$52/100*Assumptions!$C$68/100</f>
        <v/>
      </c>
      <c r="F14">
        <f>Assumptions!$C$47*Assumptions!$C$48*Assumptions!$C$49*Assumptions!$C$52/100*Assumptions!$C$68/100</f>
        <v/>
      </c>
      <c r="G14">
        <f>Assumptions!$C$47*Assumptions!$C$48*Assumptions!$C$49*Assumptions!$C$52/100*Assumptions!$C$68/100</f>
        <v/>
      </c>
      <c r="H14">
        <f>Assumptions!$C$47*Assumptions!$C$48*Assumptions!$C$49*Assumptions!$C$52/100*Assumptions!$C$68/100</f>
        <v/>
      </c>
      <c r="I14">
        <f>Assumptions!$C$47*Assumptions!$C$48*Assumptions!$C$49*Assumptions!$C$52/100*Assumptions!$C$68/100</f>
        <v/>
      </c>
      <c r="J14">
        <f>Assumptions!$C$47*Assumptions!$C$48*Assumptions!$C$49*Assumptions!$C$52/100*Assumptions!$C$68/100</f>
        <v/>
      </c>
      <c r="K14">
        <f>Assumptions!$C$47*Assumptions!$C$48*Assumptions!$C$49*Assumptions!$C$52/100*Assumptions!$C$68/100</f>
        <v/>
      </c>
      <c r="L14">
        <f>Assumptions!$C$47*Assumptions!$C$48*Assumptions!$C$49*Assumptions!$C$52/100*Assumptions!$C$68/100</f>
        <v/>
      </c>
    </row>
    <row r="15">
      <c r="A15" t="inlineStr">
        <is>
          <t>French fries price</t>
        </is>
      </c>
      <c r="B15" t="inlineStr">
        <is>
          <t>XAF/kg</t>
        </is>
      </c>
      <c r="C15">
        <f>Assumptions!$C$65*(1+Assumptions!$C$57/100)^(1-1)</f>
        <v/>
      </c>
      <c r="D15">
        <f>Assumptions!$C$65*(1+Assumptions!$C$57/100)^(2-1)</f>
        <v/>
      </c>
      <c r="E15">
        <f>Assumptions!$C$65*(1+Assumptions!$C$57/100)^(3-1)</f>
        <v/>
      </c>
      <c r="F15">
        <f>Assumptions!$C$65*(1+Assumptions!$C$57/100)^(4-1)</f>
        <v/>
      </c>
      <c r="G15">
        <f>Assumptions!$C$65*(1+Assumptions!$C$57/100)^(5-1)</f>
        <v/>
      </c>
      <c r="H15">
        <f>Assumptions!$C$65*(1+Assumptions!$C$57/100)^(6-1)</f>
        <v/>
      </c>
      <c r="I15">
        <f>Assumptions!$C$65*(1+Assumptions!$C$57/100)^(7-1)</f>
        <v/>
      </c>
      <c r="J15">
        <f>Assumptions!$C$65*(1+Assumptions!$C$57/100)^(8-1)</f>
        <v/>
      </c>
      <c r="K15">
        <f>Assumptions!$C$65*(1+Assumptions!$C$57/100)^(9-1)</f>
        <v/>
      </c>
      <c r="L15">
        <f>Assumptions!$C$65*(1+Assumptions!$C$57/100)^(10-1)</f>
        <v/>
      </c>
    </row>
    <row r="16">
      <c r="A16" t="inlineStr">
        <is>
          <t>French fries revenue</t>
        </is>
      </c>
      <c r="B16" t="inlineStr">
        <is>
          <t>XAF</t>
        </is>
      </c>
      <c r="C16" s="3">
        <f>C14*C15*1000</f>
        <v/>
      </c>
      <c r="D16" s="3">
        <f>D14*D15*1000</f>
        <v/>
      </c>
      <c r="E16" s="3">
        <f>E14*E15*1000</f>
        <v/>
      </c>
      <c r="F16" s="3">
        <f>F14*F15*1000</f>
        <v/>
      </c>
      <c r="G16" s="3">
        <f>G14*G15*1000</f>
        <v/>
      </c>
      <c r="H16" s="3">
        <f>H14*H15*1000</f>
        <v/>
      </c>
      <c r="I16" s="3">
        <f>I14*I15*1000</f>
        <v/>
      </c>
      <c r="J16" s="3">
        <f>J14*J15*1000</f>
        <v/>
      </c>
      <c r="K16" s="3">
        <f>K14*K15*1000</f>
        <v/>
      </c>
      <c r="L16" s="3">
        <f>L14*L15*1000</f>
        <v/>
      </c>
    </row>
    <row r="17">
      <c r="A17" t="inlineStr"/>
      <c r="B17" t="inlineStr"/>
    </row>
    <row r="18">
      <c r="A18" t="inlineStr">
        <is>
          <t>Fresh pack sales volume</t>
        </is>
      </c>
      <c r="B18" t="inlineStr">
        <is>
          <t>tonnes</t>
        </is>
      </c>
    </row>
    <row r="19">
      <c r="A19" t="inlineStr">
        <is>
          <t>Fresh pack price</t>
        </is>
      </c>
      <c r="B19" t="inlineStr">
        <is>
          <t>XAF/kg</t>
        </is>
      </c>
    </row>
    <row r="20">
      <c r="A20" t="inlineStr">
        <is>
          <t>Fresh pack revenue</t>
        </is>
      </c>
      <c r="B20" t="inlineStr">
        <is>
          <t>XAF</t>
        </is>
      </c>
    </row>
    <row r="21">
      <c r="A21" t="inlineStr"/>
      <c r="B21" t="inlineStr"/>
    </row>
    <row r="22">
      <c r="A22" t="inlineStr">
        <is>
          <t>Animal feed sales volume</t>
        </is>
      </c>
      <c r="B22" t="inlineStr">
        <is>
          <t>tonnes</t>
        </is>
      </c>
    </row>
    <row r="23">
      <c r="A23" t="inlineStr">
        <is>
          <t>Feed price</t>
        </is>
      </c>
      <c r="B23" t="inlineStr">
        <is>
          <t>XAF/kg</t>
        </is>
      </c>
    </row>
    <row r="24">
      <c r="A24" t="inlineStr">
        <is>
          <t>Feed revenue</t>
        </is>
      </c>
      <c r="B24" t="inlineStr">
        <is>
          <t>XAF</t>
        </is>
      </c>
    </row>
    <row r="25">
      <c r="A25" t="inlineStr"/>
      <c r="B25" t="inlineStr"/>
    </row>
    <row r="26">
      <c r="A26" s="19" t="inlineStr">
        <is>
          <t>TOTAL REVENUE</t>
        </is>
      </c>
      <c r="B26" t="inlineStr">
        <is>
          <t>XAF</t>
        </is>
      </c>
      <c r="C26" s="20">
        <f>C7+C15+C22</f>
        <v/>
      </c>
      <c r="D26" s="20">
        <f>D7+D15+D22</f>
        <v/>
      </c>
      <c r="E26" s="20">
        <f>E7+E15+E22</f>
        <v/>
      </c>
      <c r="F26" s="20">
        <f>F7+F15+F22</f>
        <v/>
      </c>
      <c r="G26" s="20">
        <f>G7+G15+G22</f>
        <v/>
      </c>
      <c r="H26" s="20">
        <f>H7+H15+H22</f>
        <v/>
      </c>
      <c r="I26" s="20">
        <f>I7+I15+I22</f>
        <v/>
      </c>
      <c r="J26" s="20">
        <f>J7+J15+J22</f>
        <v/>
      </c>
      <c r="K26" s="20">
        <f>K7+K15+K22</f>
        <v/>
      </c>
      <c r="L26" s="20">
        <f>L7+L15+L22</f>
        <v/>
      </c>
    </row>
  </sheetData>
  <mergeCells count="1"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7" t="inlineStr">
        <is>
          <t>OPERATING COSTS</t>
        </is>
      </c>
    </row>
    <row r="3">
      <c r="A3" t="inlineStr">
        <is>
          <t>Cost Category</t>
        </is>
      </c>
      <c r="B3" t="inlineStr">
        <is>
          <t>Unit</t>
        </is>
      </c>
      <c r="C3" s="21" t="inlineStr">
        <is>
          <t>Year 1</t>
        </is>
      </c>
      <c r="D3" s="21" t="inlineStr">
        <is>
          <t>Year 2</t>
        </is>
      </c>
      <c r="E3" s="21" t="inlineStr">
        <is>
          <t>Year 3</t>
        </is>
      </c>
      <c r="F3" s="21" t="inlineStr">
        <is>
          <t>Year 4</t>
        </is>
      </c>
      <c r="G3" s="21" t="inlineStr">
        <is>
          <t>Year 5</t>
        </is>
      </c>
      <c r="H3" s="21" t="inlineStr">
        <is>
          <t>Year 6</t>
        </is>
      </c>
      <c r="I3" s="21" t="inlineStr">
        <is>
          <t>Year 7</t>
        </is>
      </c>
      <c r="J3" s="21" t="inlineStr">
        <is>
          <t>Year 8</t>
        </is>
      </c>
      <c r="K3" s="21" t="inlineStr">
        <is>
          <t>Year 9</t>
        </is>
      </c>
      <c r="L3" s="21" t="inlineStr">
        <is>
          <t>Year 10</t>
        </is>
      </c>
    </row>
    <row r="4">
      <c r="A4" s="22" t="inlineStr">
        <is>
          <t>SEED PRODUCTION COSTS</t>
        </is>
      </c>
      <c r="B4" t="inlineStr"/>
    </row>
    <row r="5">
      <c r="A5" t="inlineStr">
        <is>
          <t>G0 import cost</t>
        </is>
      </c>
      <c r="B5" t="inlineStr">
        <is>
          <t>XAF</t>
        </is>
      </c>
      <c r="C5" s="3">
        <f>Assumptions!$C$86*Assumptions!$C$14*1000*(1+Assumptions!$C$119/100)^(1-1)</f>
        <v/>
      </c>
      <c r="D5" s="3">
        <f>Assumptions!$C$86*Assumptions!$C$14*1000*(1+Assumptions!$C$119/100)^(2-1)</f>
        <v/>
      </c>
      <c r="E5" s="3">
        <f>Assumptions!$C$86*Assumptions!$C$14*1000*(1+Assumptions!$C$119/100)^(3-1)</f>
        <v/>
      </c>
      <c r="F5" s="3">
        <f>Assumptions!$C$86*Assumptions!$C$14*1000*(1+Assumptions!$C$119/100)^(4-1)</f>
        <v/>
      </c>
      <c r="G5" s="3">
        <f>Assumptions!$C$86*Assumptions!$C$14*1000*(1+Assumptions!$C$119/100)^(5-1)</f>
        <v/>
      </c>
      <c r="H5" s="3">
        <f>Assumptions!$C$86*Assumptions!$C$14*1000*(1+Assumptions!$C$119/100)^(6-1)</f>
        <v/>
      </c>
      <c r="I5" s="3">
        <f>Assumptions!$C$86*Assumptions!$C$14*1000*(1+Assumptions!$C$119/100)^(7-1)</f>
        <v/>
      </c>
      <c r="J5" s="3">
        <f>Assumptions!$C$86*Assumptions!$C$14*1000*(1+Assumptions!$C$119/100)^(8-1)</f>
        <v/>
      </c>
      <c r="K5" s="3">
        <f>Assumptions!$C$86*Assumptions!$C$14*1000*(1+Assumptions!$C$119/100)^(9-1)</f>
        <v/>
      </c>
      <c r="L5" s="3">
        <f>Assumptions!$C$86*Assumptions!$C$14*1000*(1+Assumptions!$C$119/100)^(10-1)</f>
        <v/>
      </c>
    </row>
    <row r="6">
      <c r="A6" t="inlineStr">
        <is>
          <t>Multiplication cost</t>
        </is>
      </c>
      <c r="B6" t="inlineStr">
        <is>
          <t>XAF</t>
        </is>
      </c>
      <c r="C6" s="3">
        <f>Assumptions!$C$87*Assumptions!$C$15*1000*(1+Assumptions!$C$119/100)^(1-1)</f>
        <v/>
      </c>
      <c r="D6" s="3">
        <f>Assumptions!$C$87*Assumptions!$C$15*1000*(1+Assumptions!$C$119/100)^(2-1)</f>
        <v/>
      </c>
      <c r="E6" s="3">
        <f>Assumptions!$C$87*Assumptions!$C$15*1000*(1+Assumptions!$C$119/100)^(3-1)</f>
        <v/>
      </c>
      <c r="F6" s="3">
        <f>Assumptions!$C$87*Assumptions!$C$15*1000*(1+Assumptions!$C$119/100)^(4-1)</f>
        <v/>
      </c>
      <c r="G6" s="3">
        <f>Assumptions!$C$87*Assumptions!$C$15*1000*(1+Assumptions!$C$119/100)^(5-1)</f>
        <v/>
      </c>
      <c r="H6" s="3">
        <f>Assumptions!$C$87*Assumptions!$C$15*1000*(1+Assumptions!$C$119/100)^(6-1)</f>
        <v/>
      </c>
      <c r="I6" s="3">
        <f>Assumptions!$C$87*Assumptions!$C$15*1000*(1+Assumptions!$C$119/100)^(7-1)</f>
        <v/>
      </c>
      <c r="J6" s="3">
        <f>Assumptions!$C$87*Assumptions!$C$15*1000*(1+Assumptions!$C$119/100)^(8-1)</f>
        <v/>
      </c>
      <c r="K6" s="3">
        <f>Assumptions!$C$87*Assumptions!$C$15*1000*(1+Assumptions!$C$119/100)^(9-1)</f>
        <v/>
      </c>
      <c r="L6" s="3">
        <f>Assumptions!$C$87*Assumptions!$C$15*1000*(1+Assumptions!$C$119/100)^(10-1)</f>
        <v/>
      </c>
    </row>
    <row r="7">
      <c r="A7" t="inlineStr">
        <is>
          <t>Storage cost</t>
        </is>
      </c>
      <c r="B7" t="inlineStr">
        <is>
          <t>XAF</t>
        </is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</row>
    <row r="8">
      <c r="A8" s="21" t="inlineStr">
        <is>
          <t>Total seed costs</t>
        </is>
      </c>
      <c r="B8" t="inlineStr">
        <is>
          <t>XAF</t>
        </is>
      </c>
      <c r="C8" s="3">
        <f>SUM(C5:C7)</f>
        <v/>
      </c>
      <c r="D8" s="3">
        <f>SUM(D5:D7)</f>
        <v/>
      </c>
      <c r="E8" s="3">
        <f>SUM(E5:E7)</f>
        <v/>
      </c>
      <c r="F8" s="3">
        <f>SUM(F5:F7)</f>
        <v/>
      </c>
      <c r="G8" s="3">
        <f>SUM(G5:G7)</f>
        <v/>
      </c>
      <c r="H8" s="3">
        <f>SUM(H5:H7)</f>
        <v/>
      </c>
      <c r="I8" s="3">
        <f>SUM(I5:I7)</f>
        <v/>
      </c>
      <c r="J8" s="3">
        <f>SUM(J5:J7)</f>
        <v/>
      </c>
      <c r="K8" s="3">
        <f>SUM(K5:K7)</f>
        <v/>
      </c>
      <c r="L8" s="3">
        <f>SUM(L5:L7)</f>
        <v/>
      </c>
    </row>
    <row r="9">
      <c r="A9" t="inlineStr"/>
      <c r="B9" t="inlineStr"/>
    </row>
    <row r="10">
      <c r="A10" s="22" t="inlineStr">
        <is>
          <t>OUTGROWER COSTS</t>
        </is>
      </c>
      <c r="B10" t="inlineStr"/>
    </row>
    <row r="11">
      <c r="A11" t="inlineStr">
        <is>
          <t>Input packages</t>
        </is>
      </c>
      <c r="B11" t="inlineStr">
        <is>
          <t>XAF</t>
        </is>
      </c>
      <c r="C11" s="3">
        <f>Assumptions!$C$23*Assumptions!$C$93*(1+Assumptions!$C$119/100)^(1-1)</f>
        <v/>
      </c>
      <c r="D11" s="3">
        <f>Assumptions!$C$24*Assumptions!$C$93*(1+Assumptions!$C$119/100)^(2-1)</f>
        <v/>
      </c>
      <c r="E11" s="3">
        <f>Assumptions!$C$25*Assumptions!$C$93*(1+Assumptions!$C$119/100)^(3-1)</f>
        <v/>
      </c>
      <c r="F11" s="3">
        <f>Assumptions!$C$25*Assumptions!$C$93*(1+Assumptions!$C$119/100)^(4-1)</f>
        <v/>
      </c>
      <c r="G11" s="3">
        <f>Assumptions!$C$25*Assumptions!$C$93*(1+Assumptions!$C$119/100)^(5-1)</f>
        <v/>
      </c>
      <c r="H11" s="3">
        <f>Assumptions!$C$25*Assumptions!$C$93*(1+Assumptions!$C$119/100)^(6-1)</f>
        <v/>
      </c>
      <c r="I11" s="3">
        <f>Assumptions!$C$25*Assumptions!$C$93*(1+Assumptions!$C$119/100)^(7-1)</f>
        <v/>
      </c>
      <c r="J11" s="3">
        <f>Assumptions!$C$25*Assumptions!$C$93*(1+Assumptions!$C$119/100)^(8-1)</f>
        <v/>
      </c>
      <c r="K11" s="3">
        <f>Assumptions!$C$25*Assumptions!$C$93*(1+Assumptions!$C$119/100)^(9-1)</f>
        <v/>
      </c>
      <c r="L11" s="3">
        <f>Assumptions!$C$25*Assumptions!$C$93*(1+Assumptions!$C$119/100)^(10-1)</f>
        <v/>
      </c>
    </row>
    <row r="12">
      <c r="A12" t="inlineStr">
        <is>
          <t>Extension services</t>
        </is>
      </c>
      <c r="B12" t="inlineStr">
        <is>
          <t>XAF</t>
        </is>
      </c>
      <c r="C12" s="3">
        <f>Assumptions!$C$23*Assumptions!$C$94*(1+Assumptions!$C$119/100)^(1-1)</f>
        <v/>
      </c>
      <c r="D12" s="3">
        <f>Assumptions!$C$24*Assumptions!$C$94*(1+Assumptions!$C$119/100)^(2-1)</f>
        <v/>
      </c>
      <c r="E12" s="3">
        <f>Assumptions!$C$25*Assumptions!$C$94*(1+Assumptions!$C$119/100)^(3-1)</f>
        <v/>
      </c>
      <c r="F12" s="3">
        <f>Assumptions!$C$25*Assumptions!$C$94*(1+Assumptions!$C$119/100)^(4-1)</f>
        <v/>
      </c>
      <c r="G12" s="3">
        <f>Assumptions!$C$25*Assumptions!$C$94*(1+Assumptions!$C$119/100)^(5-1)</f>
        <v/>
      </c>
      <c r="H12" s="3">
        <f>Assumptions!$C$25*Assumptions!$C$94*(1+Assumptions!$C$119/100)^(6-1)</f>
        <v/>
      </c>
      <c r="I12" s="3">
        <f>Assumptions!$C$25*Assumptions!$C$94*(1+Assumptions!$C$119/100)^(7-1)</f>
        <v/>
      </c>
      <c r="J12" s="3">
        <f>Assumptions!$C$25*Assumptions!$C$94*(1+Assumptions!$C$119/100)^(8-1)</f>
        <v/>
      </c>
      <c r="K12" s="3">
        <f>Assumptions!$C$25*Assumptions!$C$94*(1+Assumptions!$C$119/100)^(9-1)</f>
        <v/>
      </c>
      <c r="L12" s="3">
        <f>Assumptions!$C$25*Assumptions!$C$94*(1+Assumptions!$C$119/100)^(10-1)</f>
        <v/>
      </c>
    </row>
    <row r="13">
      <c r="A13" s="21" t="inlineStr">
        <is>
          <t>Total outgrower costs</t>
        </is>
      </c>
      <c r="B13" t="inlineStr">
        <is>
          <t>XAF</t>
        </is>
      </c>
      <c r="C13" s="3">
        <f>SUM(C11:C12)</f>
        <v/>
      </c>
      <c r="D13" s="3">
        <f>SUM(D11:D12)</f>
        <v/>
      </c>
      <c r="E13" s="3">
        <f>SUM(E11:E12)</f>
        <v/>
      </c>
      <c r="F13" s="3">
        <f>SUM(F11:F12)</f>
        <v/>
      </c>
      <c r="G13" s="3">
        <f>SUM(G11:G12)</f>
        <v/>
      </c>
      <c r="H13" s="3">
        <f>SUM(H11:H12)</f>
        <v/>
      </c>
      <c r="I13" s="3">
        <f>SUM(I11:I12)</f>
        <v/>
      </c>
      <c r="J13" s="3">
        <f>SUM(J11:J12)</f>
        <v/>
      </c>
      <c r="K13" s="3">
        <f>SUM(K11:K12)</f>
        <v/>
      </c>
      <c r="L13" s="3">
        <f>SUM(L11:L12)</f>
        <v/>
      </c>
    </row>
    <row r="14">
      <c r="A14" t="inlineStr"/>
      <c r="B14" t="inlineStr"/>
    </row>
    <row r="15">
      <c r="A15" s="22" t="inlineStr">
        <is>
          <t>PROCESSING COSTS</t>
        </is>
      </c>
      <c r="B15" t="inlineStr"/>
    </row>
    <row r="16">
      <c r="A16" t="inlineStr">
        <is>
          <t>Direct labor</t>
        </is>
      </c>
      <c r="B16" t="inlineStr">
        <is>
          <t>XAF</t>
        </is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</row>
    <row r="17">
      <c r="A17" t="inlineStr">
        <is>
          <t>Utilities</t>
        </is>
      </c>
      <c r="B17" t="inlineStr">
        <is>
          <t>XAF</t>
        </is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t="inlineStr">
        <is>
          <t>Packaging</t>
        </is>
      </c>
      <c r="B18" t="inlineStr">
        <is>
          <t>XAF</t>
        </is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t="inlineStr">
        <is>
          <t>Maintenance</t>
        </is>
      </c>
      <c r="B19" t="inlineStr">
        <is>
          <t>XAF</t>
        </is>
      </c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>
      <c r="A20" s="21" t="inlineStr">
        <is>
          <t>Total processing costs</t>
        </is>
      </c>
      <c r="B20" t="inlineStr">
        <is>
          <t>XAF</t>
        </is>
      </c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t="inlineStr"/>
      <c r="B21" t="inlineStr"/>
    </row>
    <row r="22">
      <c r="A22" t="inlineStr">
        <is>
          <t>OVERHEAD &amp; ADMIN</t>
        </is>
      </c>
      <c r="B22" t="inlineStr"/>
    </row>
    <row r="23">
      <c r="A23" t="inlineStr">
        <is>
          <t>Management &amp; staff</t>
        </is>
      </c>
      <c r="B23" t="inlineStr">
        <is>
          <t>XAF</t>
        </is>
      </c>
      <c r="C23" s="3">
        <f>(Assumptions!$C$107+Assumptions!$C$108)*12*(1+Assumptions!$C$119/100)^(1-1)</f>
        <v/>
      </c>
      <c r="D23" s="3">
        <f>(Assumptions!$C$107+Assumptions!$C$108)*12*(1+Assumptions!$C$119/100)^(2-1)</f>
        <v/>
      </c>
      <c r="E23" s="3">
        <f>(Assumptions!$C$107+Assumptions!$C$108)*12*(1+Assumptions!$C$119/100)^(3-1)</f>
        <v/>
      </c>
      <c r="F23" s="3">
        <f>(Assumptions!$C$107+Assumptions!$C$108)*12*(1+Assumptions!$C$119/100)^(4-1)</f>
        <v/>
      </c>
      <c r="G23" s="3">
        <f>(Assumptions!$C$107+Assumptions!$C$108)*12*(1+Assumptions!$C$119/100)^(5-1)</f>
        <v/>
      </c>
      <c r="H23" s="3">
        <f>(Assumptions!$C$107+Assumptions!$C$108)*12*(1+Assumptions!$C$119/100)^(6-1)</f>
        <v/>
      </c>
      <c r="I23" s="3">
        <f>(Assumptions!$C$107+Assumptions!$C$108)*12*(1+Assumptions!$C$119/100)^(7-1)</f>
        <v/>
      </c>
      <c r="J23" s="3">
        <f>(Assumptions!$C$107+Assumptions!$C$108)*12*(1+Assumptions!$C$119/100)^(8-1)</f>
        <v/>
      </c>
      <c r="K23" s="3">
        <f>(Assumptions!$C$107+Assumptions!$C$108)*12*(1+Assumptions!$C$119/100)^(9-1)</f>
        <v/>
      </c>
      <c r="L23" s="3">
        <f>(Assumptions!$C$107+Assumptions!$C$108)*12*(1+Assumptions!$C$119/100)^(10-1)</f>
        <v/>
      </c>
    </row>
    <row r="24">
      <c r="A24" t="inlineStr">
        <is>
          <t>Office expenses</t>
        </is>
      </c>
      <c r="B24" t="inlineStr">
        <is>
          <t>XAF</t>
        </is>
      </c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t="inlineStr">
        <is>
          <t>Insurance</t>
        </is>
      </c>
      <c r="B25" t="inlineStr">
        <is>
          <t>XAF</t>
        </is>
      </c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t="inlineStr">
        <is>
          <t>Professional services</t>
        </is>
      </c>
      <c r="B26" t="inlineStr">
        <is>
          <t>XAF</t>
        </is>
      </c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21" t="inlineStr">
        <is>
          <t>Total overhead</t>
        </is>
      </c>
      <c r="B27" t="inlineStr">
        <is>
          <t>XAF</t>
        </is>
      </c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t="inlineStr"/>
      <c r="B28" t="inlineStr"/>
    </row>
    <row r="29">
      <c r="A29" t="inlineStr">
        <is>
          <t>LOGISTICS</t>
        </is>
      </c>
      <c r="B29" t="inlineStr"/>
    </row>
    <row r="30">
      <c r="A30" t="inlineStr">
        <is>
          <t>Transport</t>
        </is>
      </c>
      <c r="B30" t="inlineStr">
        <is>
          <t>XAF</t>
        </is>
      </c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t="inlineStr">
        <is>
          <t>Cold storage</t>
        </is>
      </c>
      <c r="B31" t="inlineStr">
        <is>
          <t>XAF</t>
        </is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21" t="inlineStr">
        <is>
          <t>Total logistics</t>
        </is>
      </c>
      <c r="B32" t="inlineStr">
        <is>
          <t>XAF</t>
        </is>
      </c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t="inlineStr"/>
      <c r="B33" t="inlineStr"/>
    </row>
    <row r="34">
      <c r="A34" s="21" t="inlineStr">
        <is>
          <t>TOTAL OPERATING COSTS</t>
        </is>
      </c>
      <c r="B34" t="inlineStr">
        <is>
          <t>XAF</t>
        </is>
      </c>
      <c r="C34" s="20">
        <f>C8+C14+C21+C28+C32</f>
        <v/>
      </c>
      <c r="D34" s="20">
        <f>D8+D14+D21+D28+D32</f>
        <v/>
      </c>
      <c r="E34" s="20">
        <f>E8+E14+E21+E28+E32</f>
        <v/>
      </c>
      <c r="F34" s="20">
        <f>F8+F14+F21+F28+F32</f>
        <v/>
      </c>
      <c r="G34" s="20">
        <f>G8+G14+G21+G28+G32</f>
        <v/>
      </c>
      <c r="H34" s="20">
        <f>H8+H14+H21+H28+H32</f>
        <v/>
      </c>
      <c r="I34" s="20">
        <f>I8+I14+I21+I28+I32</f>
        <v/>
      </c>
      <c r="J34" s="20">
        <f>J8+J14+J21+J28+J32</f>
        <v/>
      </c>
      <c r="K34" s="20">
        <f>K8+K14+K21+K28+K32</f>
        <v/>
      </c>
      <c r="L34" s="20">
        <f>L8+L14+L21+L28+L32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7" t="inlineStr">
        <is>
          <t>CAPITAL EXPENDITURE SCHEDULE</t>
        </is>
      </c>
    </row>
    <row r="3">
      <c r="A3" t="inlineStr">
        <is>
          <t>Phase / Item</t>
        </is>
      </c>
      <c r="B3" t="inlineStr">
        <is>
          <t>Total Budget</t>
        </is>
      </c>
      <c r="C3" s="21" t="inlineStr">
        <is>
          <t>Year 1</t>
        </is>
      </c>
      <c r="D3" s="21" t="inlineStr">
        <is>
          <t>Year 2</t>
        </is>
      </c>
      <c r="E3" s="21" t="inlineStr">
        <is>
          <t>Year 3</t>
        </is>
      </c>
      <c r="F3" s="21" t="inlineStr">
        <is>
          <t>Year 4</t>
        </is>
      </c>
      <c r="G3" s="21" t="inlineStr">
        <is>
          <t>Year 5</t>
        </is>
      </c>
      <c r="H3" s="21" t="inlineStr">
        <is>
          <t>Year 6</t>
        </is>
      </c>
      <c r="I3" s="21" t="inlineStr">
        <is>
          <t>Year 7</t>
        </is>
      </c>
      <c r="J3" s="21" t="inlineStr">
        <is>
          <t>Year 8</t>
        </is>
      </c>
      <c r="K3" s="21" t="inlineStr">
        <is>
          <t>Year 9</t>
        </is>
      </c>
      <c r="L3" s="21" t="inlineStr">
        <is>
          <t>Year 10</t>
        </is>
      </c>
    </row>
    <row r="4">
      <c r="A4" s="18" t="inlineStr">
        <is>
          <t>PHASE 1: Seed Multiplication</t>
        </is>
      </c>
      <c r="B4" s="3">
        <f>Assumptions!$C$130</f>
        <v/>
      </c>
      <c r="C4" s="3">
        <f>$B4*0.6</f>
        <v/>
      </c>
      <c r="D4" s="3">
        <f>$B4*0.4</f>
        <v/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</row>
    <row r="5">
      <c r="A5" s="18" t="inlineStr">
        <is>
          <t>PHASE 2: Outgrower Network</t>
        </is>
      </c>
      <c r="B5" s="3">
        <f>Assumptions!$C$138</f>
        <v/>
      </c>
      <c r="C5" s="3" t="n">
        <v>0</v>
      </c>
      <c r="D5" s="3">
        <f>$B5*0.5</f>
        <v/>
      </c>
      <c r="E5" s="3">
        <f>$B5*0.5</f>
        <v/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</row>
    <row r="6">
      <c r="A6" s="18" t="inlineStr">
        <is>
          <t>PHASE 3: Processing Facility</t>
        </is>
      </c>
      <c r="B6" s="3">
        <f>Assumptions!$C$149</f>
        <v/>
      </c>
      <c r="C6" s="3" t="n">
        <v>0</v>
      </c>
      <c r="D6" s="3">
        <f>$B6*0.2</f>
        <v/>
      </c>
      <c r="E6" s="3">
        <f>$B6*0.5</f>
        <v/>
      </c>
      <c r="F6" s="3">
        <f>$B6*0.3</f>
        <v/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</row>
    <row r="7">
      <c r="A7" s="18" t="inlineStr">
        <is>
          <t>PHASE 4: Logistics</t>
        </is>
      </c>
      <c r="B7" s="3">
        <f>Assumptions!$C$159</f>
        <v/>
      </c>
      <c r="C7" s="3" t="n">
        <v>0</v>
      </c>
      <c r="D7" s="3" t="n">
        <v>0</v>
      </c>
      <c r="E7" s="3" t="n">
        <v>0</v>
      </c>
      <c r="F7" s="3">
        <f>$B7*0.7</f>
        <v/>
      </c>
      <c r="G7" s="3">
        <f>$B7*0.3</f>
        <v/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</row>
    <row r="8">
      <c r="A8" s="18" t="inlineStr">
        <is>
          <t>PHASE 5: Circular Economy</t>
        </is>
      </c>
      <c r="B8" s="3">
        <f>Assumptions!$C$167</f>
        <v/>
      </c>
      <c r="C8" s="3" t="n">
        <v>0</v>
      </c>
      <c r="D8" s="3" t="n">
        <v>0</v>
      </c>
      <c r="E8" s="3" t="n">
        <v>0</v>
      </c>
      <c r="F8" s="3" t="n">
        <v>0</v>
      </c>
      <c r="G8" s="3">
        <f>$B8</f>
        <v/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</row>
    <row r="9">
      <c r="A9" t="inlineStr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</row>
    <row r="10">
      <c r="A10" s="19" t="inlineStr">
        <is>
          <t>TOTAL CAPEX</t>
        </is>
      </c>
      <c r="B10" s="20">
        <f>Assumptions!$C$170</f>
        <v/>
      </c>
      <c r="C10" s="20">
        <f>SUM(C4:C8)</f>
        <v/>
      </c>
      <c r="D10" s="20">
        <f>SUM(D4:D8)</f>
        <v/>
      </c>
      <c r="E10" s="20">
        <f>SUM(E4:E8)</f>
        <v/>
      </c>
      <c r="F10" s="20">
        <f>SUM(F4:F8)</f>
        <v/>
      </c>
      <c r="G10" s="20">
        <f>SUM(G4:G8)</f>
        <v/>
      </c>
      <c r="H10" s="20">
        <f>SUM(H4:H8)</f>
        <v/>
      </c>
      <c r="I10" s="20">
        <f>SUM(I4:I8)</f>
        <v/>
      </c>
      <c r="J10" s="20">
        <f>SUM(J4:J8)</f>
        <v/>
      </c>
      <c r="K10" s="20">
        <f>SUM(K4:K8)</f>
        <v/>
      </c>
      <c r="L10" s="20">
        <f>SUM(L4:L8)</f>
        <v/>
      </c>
    </row>
    <row r="11">
      <c r="A11" t="inlineStr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</row>
    <row r="12">
      <c r="A12" t="inlineStr">
        <is>
          <t>Cumulative CAPEX</t>
        </is>
      </c>
      <c r="C12" s="3">
        <f>C10</f>
        <v/>
      </c>
      <c r="D12" s="3">
        <f>C12+D10</f>
        <v/>
      </c>
      <c r="E12" s="3">
        <f>D12+E10</f>
        <v/>
      </c>
      <c r="F12" s="3">
        <f>E12+F10</f>
        <v/>
      </c>
      <c r="G12" s="3">
        <f>F12+G10</f>
        <v/>
      </c>
      <c r="H12" s="3">
        <f>G12+H10</f>
        <v/>
      </c>
      <c r="I12" s="3">
        <f>H12+I10</f>
        <v/>
      </c>
      <c r="J12" s="3">
        <f>I12+J10</f>
        <v/>
      </c>
      <c r="K12" s="3">
        <f>J12+K10</f>
        <v/>
      </c>
      <c r="L12" s="3">
        <f>K12+L10</f>
        <v/>
      </c>
    </row>
  </sheetData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7" t="inlineStr">
        <is>
          <t>DEBT SCHEDULE</t>
        </is>
      </c>
    </row>
    <row r="3">
      <c r="A3" t="inlineStr">
        <is>
          <t>Item</t>
        </is>
      </c>
      <c r="B3" s="21" t="inlineStr">
        <is>
          <t>Year 1</t>
        </is>
      </c>
      <c r="C3" s="21" t="inlineStr">
        <is>
          <t>Year 2</t>
        </is>
      </c>
      <c r="D3" s="21" t="inlineStr">
        <is>
          <t>Year 3</t>
        </is>
      </c>
      <c r="E3" s="21" t="inlineStr">
        <is>
          <t>Year 4</t>
        </is>
      </c>
      <c r="F3" s="21" t="inlineStr">
        <is>
          <t>Year 5</t>
        </is>
      </c>
      <c r="G3" s="21" t="inlineStr">
        <is>
          <t>Year 6</t>
        </is>
      </c>
      <c r="H3" s="21" t="inlineStr">
        <is>
          <t>Year 7</t>
        </is>
      </c>
      <c r="I3" s="21" t="inlineStr">
        <is>
          <t>Year 8</t>
        </is>
      </c>
      <c r="J3" s="21" t="inlineStr">
        <is>
          <t>Year 9</t>
        </is>
      </c>
      <c r="K3" s="21" t="inlineStr">
        <is>
          <t>Year 10</t>
        </is>
      </c>
    </row>
    <row r="4">
      <c r="A4" s="18" t="inlineStr">
        <is>
          <t>SENIOR DEBT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>
      <c r="A5" t="inlineStr">
        <is>
          <t>Opening balance</t>
        </is>
      </c>
      <c r="B5" s="3" t="n">
        <v>0</v>
      </c>
      <c r="C5" s="3">
        <f>B8</f>
        <v/>
      </c>
      <c r="D5" s="3">
        <f>C8</f>
        <v/>
      </c>
      <c r="E5" s="3">
        <f>D8</f>
        <v/>
      </c>
      <c r="F5" s="3">
        <f>E8</f>
        <v/>
      </c>
      <c r="G5" s="3">
        <f>F8</f>
        <v/>
      </c>
      <c r="H5" s="3">
        <f>G8</f>
        <v/>
      </c>
      <c r="I5" s="3">
        <f>H8</f>
        <v/>
      </c>
      <c r="J5" s="3">
        <f>I8</f>
        <v/>
      </c>
      <c r="K5" s="3">
        <f>J8</f>
        <v/>
      </c>
    </row>
    <row r="6">
      <c r="A6" t="inlineStr">
        <is>
          <t>Drawdowns</t>
        </is>
      </c>
      <c r="B6" s="3">
        <f>'CAPEX Schedule'!B11*Assumptions!$C$189/100</f>
        <v/>
      </c>
      <c r="C6" s="3">
        <f>'CAPEX Schedule'!C11*Assumptions!$C$189/100</f>
        <v/>
      </c>
      <c r="D6" s="3">
        <f>'CAPEX Schedule'!D11*Assumptions!$C$189/100</f>
        <v/>
      </c>
      <c r="E6" s="3">
        <f>'CAPEX Schedule'!E11*Assumptions!$C$189/100</f>
        <v/>
      </c>
      <c r="F6" s="3">
        <f>'CAPEX Schedule'!F11*Assumptions!$C$189/100</f>
        <v/>
      </c>
      <c r="G6" s="3">
        <f>'CAPEX Schedule'!G11*Assumptions!$C$189/100</f>
        <v/>
      </c>
      <c r="H6" s="3">
        <f>'CAPEX Schedule'!H11*Assumptions!$C$189/100</f>
        <v/>
      </c>
      <c r="I6" s="3">
        <f>'CAPEX Schedule'!I11*Assumptions!$C$189/100</f>
        <v/>
      </c>
      <c r="J6" s="3">
        <f>'CAPEX Schedule'!J11*Assumptions!$C$189/100</f>
        <v/>
      </c>
      <c r="K6" s="3">
        <f>'CAPEX Schedule'!K11*Assumptions!$C$189/100</f>
        <v/>
      </c>
    </row>
    <row r="7">
      <c r="A7" t="inlineStr">
        <is>
          <t>Principal repayment</t>
        </is>
      </c>
      <c r="B7" s="3" t="n">
        <v>0</v>
      </c>
      <c r="C7" s="3" t="n">
        <v>0</v>
      </c>
      <c r="D7" s="3" t="n">
        <v>0</v>
      </c>
      <c r="E7" s="3">
        <f>(Assumptions!$C$170*Assumptions!$C$189/100)/(10-3)</f>
        <v/>
      </c>
      <c r="F7" s="3">
        <f>(Assumptions!$C$170*Assumptions!$C$189/100)/(10-3)</f>
        <v/>
      </c>
      <c r="G7" s="3">
        <f>(Assumptions!$C$170*Assumptions!$C$189/100)/(10-3)</f>
        <v/>
      </c>
      <c r="H7" s="3">
        <f>(Assumptions!$C$170*Assumptions!$C$189/100)/(10-3)</f>
        <v/>
      </c>
      <c r="I7" s="3">
        <f>(Assumptions!$C$170*Assumptions!$C$189/100)/(10-3)</f>
        <v/>
      </c>
      <c r="J7" s="3">
        <f>(Assumptions!$C$170*Assumptions!$C$189/100)/(10-3)</f>
        <v/>
      </c>
      <c r="K7" s="3">
        <f>(Assumptions!$C$170*Assumptions!$C$189/100)/(10-3)</f>
        <v/>
      </c>
    </row>
    <row r="8">
      <c r="A8" t="inlineStr">
        <is>
          <t>Closing balance</t>
        </is>
      </c>
      <c r="B8" s="3">
        <f>B5+B6-B7</f>
        <v/>
      </c>
      <c r="C8" s="3">
        <f>C5+C6-C7</f>
        <v/>
      </c>
      <c r="D8" s="3">
        <f>D5+D6-D7</f>
        <v/>
      </c>
      <c r="E8" s="3">
        <f>E5+E6-E7</f>
        <v/>
      </c>
      <c r="F8" s="3">
        <f>F5+F6-F7</f>
        <v/>
      </c>
      <c r="G8" s="3">
        <f>G5+G6-G7</f>
        <v/>
      </c>
      <c r="H8" s="3">
        <f>H5+H6-H7</f>
        <v/>
      </c>
      <c r="I8" s="3">
        <f>I5+I6-I7</f>
        <v/>
      </c>
      <c r="J8" s="3">
        <f>J5+J6-J7</f>
        <v/>
      </c>
      <c r="K8" s="3">
        <f>K5+K6-K7</f>
        <v/>
      </c>
    </row>
    <row r="9">
      <c r="A9" t="inlineStr">
        <is>
          <t>Interest expense</t>
        </is>
      </c>
      <c r="B9" s="3">
        <f>(B5+B8)/2*Assumptions!$C$190/100</f>
        <v/>
      </c>
      <c r="C9" s="3">
        <f>(C5+C8)/2*Assumptions!$C$190/100</f>
        <v/>
      </c>
      <c r="D9" s="3">
        <f>(D5+D8)/2*Assumptions!$C$190/100</f>
        <v/>
      </c>
      <c r="E9" s="3">
        <f>(E5+E8)/2*Assumptions!$C$190/100</f>
        <v/>
      </c>
      <c r="F9" s="3">
        <f>(F5+F8)/2*Assumptions!$C$190/100</f>
        <v/>
      </c>
      <c r="G9" s="3">
        <f>(G5+G8)/2*Assumptions!$C$190/100</f>
        <v/>
      </c>
      <c r="H9" s="3">
        <f>(H5+H8)/2*Assumptions!$C$190/100</f>
        <v/>
      </c>
      <c r="I9" s="3">
        <f>(I5+I8)/2*Assumptions!$C$190/100</f>
        <v/>
      </c>
      <c r="J9" s="3">
        <f>(J5+J8)/2*Assumptions!$C$190/100</f>
        <v/>
      </c>
      <c r="K9" s="3">
        <f>(K5+K8)/2*Assumptions!$C$190/100</f>
        <v/>
      </c>
    </row>
    <row r="10">
      <c r="A10" t="inlineStr">
        <is>
          <t>Commitment fee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t="inlineStr">
        <is>
          <t>Total debt service</t>
        </is>
      </c>
      <c r="B11" s="3">
        <f>B7+B9+B10</f>
        <v/>
      </c>
      <c r="C11" s="3">
        <f>C7+C9+C10</f>
        <v/>
      </c>
      <c r="D11" s="3">
        <f>D7+D9+D10</f>
        <v/>
      </c>
      <c r="E11" s="3">
        <f>E7+E9+E10</f>
        <v/>
      </c>
      <c r="F11" s="3">
        <f>F7+F9+F10</f>
        <v/>
      </c>
      <c r="G11" s="3">
        <f>G7+G9+G10</f>
        <v/>
      </c>
      <c r="H11" s="3">
        <f>H7+H9+H10</f>
        <v/>
      </c>
      <c r="I11" s="3">
        <f>I7+I9+I10</f>
        <v/>
      </c>
      <c r="J11" s="3">
        <f>J7+J9+J10</f>
        <v/>
      </c>
      <c r="K11" s="3">
        <f>K7+K9+K10</f>
        <v/>
      </c>
    </row>
    <row r="12">
      <c r="A12" t="inlineStr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>
      <c r="A13" s="18" t="inlineStr">
        <is>
          <t>SUBORDINATED DEBT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t="inlineStr">
        <is>
          <t>Opening balance</t>
        </is>
      </c>
      <c r="B14" s="3" t="n">
        <v>0</v>
      </c>
      <c r="C14" s="3">
        <f>B17</f>
        <v/>
      </c>
      <c r="D14" s="3">
        <f>C17</f>
        <v/>
      </c>
      <c r="E14" s="3">
        <f>D17</f>
        <v/>
      </c>
      <c r="F14" s="3">
        <f>E17</f>
        <v/>
      </c>
      <c r="G14" s="3">
        <f>F17</f>
        <v/>
      </c>
      <c r="H14" s="3">
        <f>G17</f>
        <v/>
      </c>
      <c r="I14" s="3">
        <f>H17</f>
        <v/>
      </c>
      <c r="J14" s="3">
        <f>I17</f>
        <v/>
      </c>
      <c r="K14" s="3">
        <f>J17</f>
        <v/>
      </c>
    </row>
    <row r="15">
      <c r="A15" t="inlineStr">
        <is>
          <t>Drawdowns</t>
        </is>
      </c>
      <c r="B15" s="3">
        <f>'CAPEX Schedule'!B11*Assumptions!$C$198/100</f>
        <v/>
      </c>
      <c r="C15" s="3">
        <f>'CAPEX Schedule'!C11*Assumptions!$C$198/100</f>
        <v/>
      </c>
      <c r="D15" s="3">
        <f>'CAPEX Schedule'!D11*Assumptions!$C$198/100</f>
        <v/>
      </c>
      <c r="E15" s="3">
        <f>'CAPEX Schedule'!E11*Assumptions!$C$198/100</f>
        <v/>
      </c>
      <c r="F15" s="3">
        <f>'CAPEX Schedule'!F11*Assumptions!$C$198/100</f>
        <v/>
      </c>
      <c r="G15" s="3">
        <f>'CAPEX Schedule'!G11*Assumptions!$C$198/100</f>
        <v/>
      </c>
      <c r="H15" s="3">
        <f>'CAPEX Schedule'!H11*Assumptions!$C$198/100</f>
        <v/>
      </c>
      <c r="I15" s="3">
        <f>'CAPEX Schedule'!I11*Assumptions!$C$198/100</f>
        <v/>
      </c>
      <c r="J15" s="3">
        <f>'CAPEX Schedule'!J11*Assumptions!$C$198/100</f>
        <v/>
      </c>
      <c r="K15" s="3">
        <f>'CAPEX Schedule'!K11*Assumptions!$C$198/100</f>
        <v/>
      </c>
    </row>
    <row r="16">
      <c r="A16" t="inlineStr">
        <is>
          <t>Principal repayment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>
        <f>(Assumptions!$C$170*Assumptions!$C$198/100)/(8-5)</f>
        <v/>
      </c>
      <c r="H16" s="3">
        <f>(Assumptions!$C$170*Assumptions!$C$198/100)/(8-5)</f>
        <v/>
      </c>
      <c r="I16" s="3">
        <f>(Assumptions!$C$170*Assumptions!$C$198/100)/(8-5)</f>
        <v/>
      </c>
      <c r="J16" s="3">
        <f>(Assumptions!$C$170*Assumptions!$C$198/100)/(8-5)</f>
        <v/>
      </c>
      <c r="K16" s="3">
        <f>(Assumptions!$C$170*Assumptions!$C$198/100)/(8-5)</f>
        <v/>
      </c>
    </row>
    <row r="17">
      <c r="A17" t="inlineStr">
        <is>
          <t>Closing balance</t>
        </is>
      </c>
      <c r="B17" s="3">
        <f>B14+B15-B16</f>
        <v/>
      </c>
      <c r="C17" s="3">
        <f>C14+C15-C16</f>
        <v/>
      </c>
      <c r="D17" s="3">
        <f>D14+D15-D16</f>
        <v/>
      </c>
      <c r="E17" s="3">
        <f>E14+E15-E16</f>
        <v/>
      </c>
      <c r="F17" s="3">
        <f>F14+F15-F16</f>
        <v/>
      </c>
      <c r="G17" s="3">
        <f>G14+G15-G16</f>
        <v/>
      </c>
      <c r="H17" s="3">
        <f>H14+H15-H16</f>
        <v/>
      </c>
      <c r="I17" s="3">
        <f>I14+I15-I16</f>
        <v/>
      </c>
      <c r="J17" s="3">
        <f>J14+J15-J16</f>
        <v/>
      </c>
      <c r="K17" s="3">
        <f>K14+K15-K16</f>
        <v/>
      </c>
    </row>
    <row r="18">
      <c r="A18" t="inlineStr">
        <is>
          <t>Interest expense</t>
        </is>
      </c>
      <c r="B18" s="3">
        <f>(B14+B17)/2*Assumptions!$C$199/100</f>
        <v/>
      </c>
      <c r="C18" s="3">
        <f>(C14+C17)/2*Assumptions!$C$199/100</f>
        <v/>
      </c>
      <c r="D18" s="3">
        <f>(D14+D17)/2*Assumptions!$C$199/100</f>
        <v/>
      </c>
      <c r="E18" s="3">
        <f>(E14+E17)/2*Assumptions!$C$199/100</f>
        <v/>
      </c>
      <c r="F18" s="3">
        <f>(F14+F17)/2*Assumptions!$C$199/100</f>
        <v/>
      </c>
      <c r="G18" s="3">
        <f>(G14+G17)/2*Assumptions!$C$199/100</f>
        <v/>
      </c>
      <c r="H18" s="3">
        <f>(H14+H17)/2*Assumptions!$C$199/100</f>
        <v/>
      </c>
      <c r="I18" s="3">
        <f>(I14+I17)/2*Assumptions!$C$199/100</f>
        <v/>
      </c>
      <c r="J18" s="3">
        <f>(J14+J17)/2*Assumptions!$C$199/100</f>
        <v/>
      </c>
      <c r="K18" s="3">
        <f>(K14+K17)/2*Assumptions!$C$199/100</f>
        <v/>
      </c>
    </row>
    <row r="19">
      <c r="A19" t="inlineStr">
        <is>
          <t>PIK interest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t="inlineStr">
        <is>
          <t>Total debt service</t>
        </is>
      </c>
      <c r="B20" s="3">
        <f>B16+B18</f>
        <v/>
      </c>
      <c r="C20" s="3">
        <f>C16+C18</f>
        <v/>
      </c>
      <c r="D20" s="3">
        <f>D16+D18</f>
        <v/>
      </c>
      <c r="E20" s="3">
        <f>E16+E18</f>
        <v/>
      </c>
      <c r="F20" s="3">
        <f>F16+F18</f>
        <v/>
      </c>
      <c r="G20" s="3">
        <f>G16+G18</f>
        <v/>
      </c>
      <c r="H20" s="3">
        <f>H16+H18</f>
        <v/>
      </c>
      <c r="I20" s="3">
        <f>I16+I18</f>
        <v/>
      </c>
      <c r="J20" s="3">
        <f>J16+J18</f>
        <v/>
      </c>
      <c r="K20" s="3">
        <f>K16+K18</f>
        <v/>
      </c>
    </row>
    <row r="21">
      <c r="A21" t="inlineStr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>
      <c r="A22" s="18" t="inlineStr">
        <is>
          <t>TOTAL DEBT</t>
        </is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</row>
    <row r="23">
      <c r="A23" t="inlineStr">
        <is>
          <t>Total opening balance</t>
        </is>
      </c>
      <c r="B23" s="3">
        <f>B5+B14</f>
        <v/>
      </c>
      <c r="C23" s="3">
        <f>C5+C14</f>
        <v/>
      </c>
      <c r="D23" s="3">
        <f>D5+D14</f>
        <v/>
      </c>
      <c r="E23" s="3">
        <f>E5+E14</f>
        <v/>
      </c>
      <c r="F23" s="3">
        <f>F5+F14</f>
        <v/>
      </c>
      <c r="G23" s="3">
        <f>G5+G14</f>
        <v/>
      </c>
      <c r="H23" s="3">
        <f>H5+H14</f>
        <v/>
      </c>
      <c r="I23" s="3">
        <f>I5+I14</f>
        <v/>
      </c>
      <c r="J23" s="3">
        <f>J5+J14</f>
        <v/>
      </c>
      <c r="K23" s="3">
        <f>K5+K14</f>
        <v/>
      </c>
    </row>
    <row r="24">
      <c r="A24" t="inlineStr">
        <is>
          <t>Total drawdowns</t>
        </is>
      </c>
      <c r="B24" s="3">
        <f>B6+B15</f>
        <v/>
      </c>
      <c r="C24" s="3">
        <f>C6+C15</f>
        <v/>
      </c>
      <c r="D24" s="3">
        <f>D6+D15</f>
        <v/>
      </c>
      <c r="E24" s="3">
        <f>E6+E15</f>
        <v/>
      </c>
      <c r="F24" s="3">
        <f>F6+F15</f>
        <v/>
      </c>
      <c r="G24" s="3">
        <f>G6+G15</f>
        <v/>
      </c>
      <c r="H24" s="3">
        <f>H6+H15</f>
        <v/>
      </c>
      <c r="I24" s="3">
        <f>I6+I15</f>
        <v/>
      </c>
      <c r="J24" s="3">
        <f>J6+J15</f>
        <v/>
      </c>
      <c r="K24" s="3">
        <f>K6+K15</f>
        <v/>
      </c>
    </row>
    <row r="25">
      <c r="A25" t="inlineStr">
        <is>
          <t>Total principal repayment</t>
        </is>
      </c>
      <c r="B25" s="3">
        <f>B7+B16</f>
        <v/>
      </c>
      <c r="C25" s="3">
        <f>C7+C16</f>
        <v/>
      </c>
      <c r="D25" s="3">
        <f>D7+D16</f>
        <v/>
      </c>
      <c r="E25" s="3">
        <f>E7+E16</f>
        <v/>
      </c>
      <c r="F25" s="3">
        <f>F7+F16</f>
        <v/>
      </c>
      <c r="G25" s="3">
        <f>G7+G16</f>
        <v/>
      </c>
      <c r="H25" s="3">
        <f>H7+H16</f>
        <v/>
      </c>
      <c r="I25" s="3">
        <f>I7+I16</f>
        <v/>
      </c>
      <c r="J25" s="3">
        <f>J7+J16</f>
        <v/>
      </c>
      <c r="K25" s="3">
        <f>K7+K16</f>
        <v/>
      </c>
    </row>
    <row r="26">
      <c r="A26" t="inlineStr">
        <is>
          <t>Total closing balance</t>
        </is>
      </c>
      <c r="B26" s="3">
        <f>B8+B17</f>
        <v/>
      </c>
      <c r="C26" s="3">
        <f>C8+C17</f>
        <v/>
      </c>
      <c r="D26" s="3">
        <f>D8+D17</f>
        <v/>
      </c>
      <c r="E26" s="3">
        <f>E8+E17</f>
        <v/>
      </c>
      <c r="F26" s="3">
        <f>F8+F17</f>
        <v/>
      </c>
      <c r="G26" s="3">
        <f>G8+G17</f>
        <v/>
      </c>
      <c r="H26" s="3">
        <f>H8+H17</f>
        <v/>
      </c>
      <c r="I26" s="3">
        <f>I8+I17</f>
        <v/>
      </c>
      <c r="J26" s="3">
        <f>J8+J17</f>
        <v/>
      </c>
      <c r="K26" s="3">
        <f>K8+K17</f>
        <v/>
      </c>
    </row>
    <row r="27">
      <c r="A27" t="inlineStr">
        <is>
          <t>Total interest expense</t>
        </is>
      </c>
      <c r="B27" s="3">
        <f>B9+B16</f>
        <v/>
      </c>
      <c r="C27" s="3">
        <f>C9+C16</f>
        <v/>
      </c>
      <c r="D27" s="3">
        <f>D9+D16</f>
        <v/>
      </c>
      <c r="E27" s="3">
        <f>E9+E16</f>
        <v/>
      </c>
      <c r="F27" s="3">
        <f>F9+F16</f>
        <v/>
      </c>
      <c r="G27" s="3">
        <f>G9+G16</f>
        <v/>
      </c>
      <c r="H27" s="3">
        <f>H9+H16</f>
        <v/>
      </c>
      <c r="I27" s="3">
        <f>I9+I16</f>
        <v/>
      </c>
      <c r="J27" s="3">
        <f>J9+J16</f>
        <v/>
      </c>
      <c r="K27" s="3">
        <f>K9+K16</f>
        <v/>
      </c>
    </row>
    <row r="28">
      <c r="A28" t="inlineStr">
        <is>
          <t>Total debt service</t>
        </is>
      </c>
      <c r="B28" s="20">
        <f>B13+B22</f>
        <v/>
      </c>
      <c r="C28" s="20">
        <f>C13+C22</f>
        <v/>
      </c>
      <c r="D28" s="20">
        <f>D13+D22</f>
        <v/>
      </c>
      <c r="E28" s="20">
        <f>E13+E22</f>
        <v/>
      </c>
      <c r="F28" s="20">
        <f>F13+F22</f>
        <v/>
      </c>
      <c r="G28" s="20">
        <f>G13+G22</f>
        <v/>
      </c>
      <c r="H28" s="20">
        <f>H13+H22</f>
        <v/>
      </c>
      <c r="I28" s="20">
        <f>I13+I22</f>
        <v/>
      </c>
      <c r="J28" s="20">
        <f>J13+J22</f>
        <v/>
      </c>
      <c r="K28" s="20">
        <f>K13+K22</f>
        <v/>
      </c>
    </row>
  </sheetData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7" t="inlineStr">
        <is>
          <t>PROFIT &amp; LOSS STATEMENT</t>
        </is>
      </c>
    </row>
    <row r="3">
      <c r="A3" t="inlineStr">
        <is>
          <t>Line Item</t>
        </is>
      </c>
      <c r="B3" s="21" t="inlineStr">
        <is>
          <t>Year 1</t>
        </is>
      </c>
      <c r="C3" s="21" t="inlineStr">
        <is>
          <t>Year 2</t>
        </is>
      </c>
      <c r="D3" s="21" t="inlineStr">
        <is>
          <t>Year 3</t>
        </is>
      </c>
      <c r="E3" s="21" t="inlineStr">
        <is>
          <t>Year 4</t>
        </is>
      </c>
      <c r="F3" s="21" t="inlineStr">
        <is>
          <t>Year 5</t>
        </is>
      </c>
      <c r="G3" s="21" t="inlineStr">
        <is>
          <t>Year 6</t>
        </is>
      </c>
      <c r="H3" s="21" t="inlineStr">
        <is>
          <t>Year 7</t>
        </is>
      </c>
      <c r="I3" s="21" t="inlineStr">
        <is>
          <t>Year 8</t>
        </is>
      </c>
      <c r="J3" s="21" t="inlineStr">
        <is>
          <t>Year 9</t>
        </is>
      </c>
      <c r="K3" s="21" t="inlineStr">
        <is>
          <t>Year 10</t>
        </is>
      </c>
    </row>
    <row r="4">
      <c r="A4" s="23" t="inlineStr">
        <is>
          <t>Revenue</t>
        </is>
      </c>
      <c r="B4" s="3">
        <f>Revenue!B26</f>
        <v/>
      </c>
      <c r="C4" s="3">
        <f>Revenue!C26</f>
        <v/>
      </c>
      <c r="D4" s="3">
        <f>Revenue!D26</f>
        <v/>
      </c>
      <c r="E4" s="3">
        <f>Revenue!E26</f>
        <v/>
      </c>
      <c r="F4" s="3">
        <f>Revenue!F26</f>
        <v/>
      </c>
      <c r="G4" s="3">
        <f>Revenue!G26</f>
        <v/>
      </c>
      <c r="H4" s="3">
        <f>Revenue!H26</f>
        <v/>
      </c>
      <c r="I4" s="3">
        <f>Revenue!I26</f>
        <v/>
      </c>
      <c r="J4" s="3">
        <f>Revenue!J26</f>
        <v/>
      </c>
      <c r="K4" s="3">
        <f>Revenue!K26</f>
        <v/>
      </c>
    </row>
    <row r="5">
      <c r="A5" t="inlineStr"/>
    </row>
    <row r="6">
      <c r="A6" t="inlineStr">
        <is>
          <t>Operating Costs</t>
        </is>
      </c>
      <c r="B6" s="3">
        <f>-'Operating Costs'!B34</f>
        <v/>
      </c>
      <c r="C6" s="3">
        <f>-'Operating Costs'!C34</f>
        <v/>
      </c>
      <c r="D6" s="3">
        <f>-'Operating Costs'!D34</f>
        <v/>
      </c>
      <c r="E6" s="3">
        <f>-'Operating Costs'!E34</f>
        <v/>
      </c>
      <c r="F6" s="3">
        <f>-'Operating Costs'!F34</f>
        <v/>
      </c>
      <c r="G6" s="3">
        <f>-'Operating Costs'!G34</f>
        <v/>
      </c>
      <c r="H6" s="3">
        <f>-'Operating Costs'!H34</f>
        <v/>
      </c>
      <c r="I6" s="3">
        <f>-'Operating Costs'!I34</f>
        <v/>
      </c>
      <c r="J6" s="3">
        <f>-'Operating Costs'!J34</f>
        <v/>
      </c>
      <c r="K6" s="3">
        <f>-'Operating Costs'!K34</f>
        <v/>
      </c>
    </row>
    <row r="7">
      <c r="A7" t="inlineStr"/>
    </row>
    <row r="8">
      <c r="A8" s="23" t="inlineStr">
        <is>
          <t>EBITDA</t>
        </is>
      </c>
      <c r="B8" s="3">
        <f>B4+B6</f>
        <v/>
      </c>
      <c r="C8" s="3">
        <f>B4+B6</f>
        <v/>
      </c>
      <c r="D8" s="3">
        <f>B4+B6</f>
        <v/>
      </c>
      <c r="E8" s="3">
        <f>B4+B6</f>
        <v/>
      </c>
      <c r="F8" s="3">
        <f>B4+B6</f>
        <v/>
      </c>
      <c r="G8" s="3">
        <f>B4+B6</f>
        <v/>
      </c>
      <c r="H8" s="3">
        <f>B4+B6</f>
        <v/>
      </c>
      <c r="I8" s="3">
        <f>B4+B6</f>
        <v/>
      </c>
      <c r="J8" s="3">
        <f>B4+B6</f>
        <v/>
      </c>
      <c r="K8" s="3">
        <f>B4+B6</f>
        <v/>
      </c>
    </row>
    <row r="9">
      <c r="A9" t="inlineStr">
        <is>
          <t>EBITDA margin (%)</t>
        </is>
      </c>
      <c r="B9" s="5">
        <f>B8/B4*100</f>
        <v/>
      </c>
      <c r="C9" s="5">
        <f>B8/B4*100</f>
        <v/>
      </c>
      <c r="D9" s="5">
        <f>B8/B4*100</f>
        <v/>
      </c>
      <c r="E9" s="5">
        <f>B8/B4*100</f>
        <v/>
      </c>
      <c r="F9" s="5">
        <f>B8/B4*100</f>
        <v/>
      </c>
      <c r="G9" s="5">
        <f>B8/B4*100</f>
        <v/>
      </c>
      <c r="H9" s="5">
        <f>B8/B4*100</f>
        <v/>
      </c>
      <c r="I9" s="5">
        <f>B8/B4*100</f>
        <v/>
      </c>
      <c r="J9" s="5">
        <f>B8/B4*100</f>
        <v/>
      </c>
      <c r="K9" s="5">
        <f>B8/B4*100</f>
        <v/>
      </c>
    </row>
    <row r="10">
      <c r="A10" t="inlineStr"/>
    </row>
    <row r="11">
      <c r="A11" t="inlineStr">
        <is>
          <t>Depreciation</t>
        </is>
      </c>
      <c r="B11" s="3">
        <f>0</f>
        <v/>
      </c>
      <c r="C11" s="3">
        <f>0</f>
        <v/>
      </c>
      <c r="D11" s="3">
        <f>0</f>
        <v/>
      </c>
      <c r="E11" s="3">
        <f>0</f>
        <v/>
      </c>
      <c r="F11" s="3">
        <f>0</f>
        <v/>
      </c>
      <c r="G11" s="3">
        <f>0</f>
        <v/>
      </c>
      <c r="H11" s="3">
        <f>0</f>
        <v/>
      </c>
      <c r="I11" s="3">
        <f>0</f>
        <v/>
      </c>
      <c r="J11" s="3">
        <f>0</f>
        <v/>
      </c>
      <c r="K11" s="3">
        <f>0</f>
        <v/>
      </c>
    </row>
    <row r="12">
      <c r="A12" t="inlineStr"/>
    </row>
    <row r="13">
      <c r="A13" s="23" t="inlineStr">
        <is>
          <t>EBIT</t>
        </is>
      </c>
      <c r="B13" s="3">
        <f>B8+B11</f>
        <v/>
      </c>
      <c r="C13" s="3">
        <f>B8+B11</f>
        <v/>
      </c>
      <c r="D13" s="3">
        <f>B8+B11</f>
        <v/>
      </c>
      <c r="E13" s="3">
        <f>B8+B11</f>
        <v/>
      </c>
      <c r="F13" s="3">
        <f>B8+B11</f>
        <v/>
      </c>
      <c r="G13" s="3">
        <f>B8+B11</f>
        <v/>
      </c>
      <c r="H13" s="3">
        <f>B8+B11</f>
        <v/>
      </c>
      <c r="I13" s="3">
        <f>B8+B11</f>
        <v/>
      </c>
      <c r="J13" s="3">
        <f>B8+B11</f>
        <v/>
      </c>
      <c r="K13" s="3">
        <f>B8+B11</f>
        <v/>
      </c>
    </row>
    <row r="14">
      <c r="A14" t="inlineStr">
        <is>
          <t>EBIT margin (%)</t>
        </is>
      </c>
      <c r="B14" s="5">
        <f>B13/B4*100</f>
        <v/>
      </c>
      <c r="C14" s="5">
        <f>B13/B4*100</f>
        <v/>
      </c>
      <c r="D14" s="5">
        <f>B13/B4*100</f>
        <v/>
      </c>
      <c r="E14" s="5">
        <f>B13/B4*100</f>
        <v/>
      </c>
      <c r="F14" s="5">
        <f>B13/B4*100</f>
        <v/>
      </c>
      <c r="G14" s="5">
        <f>B13/B4*100</f>
        <v/>
      </c>
      <c r="H14" s="5">
        <f>B13/B4*100</f>
        <v/>
      </c>
      <c r="I14" s="5">
        <f>B13/B4*100</f>
        <v/>
      </c>
      <c r="J14" s="5">
        <f>B13/B4*100</f>
        <v/>
      </c>
      <c r="K14" s="5">
        <f>B13/B4*100</f>
        <v/>
      </c>
    </row>
    <row r="15">
      <c r="A15" t="inlineStr"/>
    </row>
    <row r="16">
      <c r="A16" t="inlineStr">
        <is>
          <t>Interest expense</t>
        </is>
      </c>
      <c r="B16" s="3">
        <f>-'Debt Schedule'!B27</f>
        <v/>
      </c>
      <c r="C16" s="3">
        <f>-'Debt Schedule'!C27</f>
        <v/>
      </c>
      <c r="D16" s="3">
        <f>-'Debt Schedule'!D27</f>
        <v/>
      </c>
      <c r="E16" s="3">
        <f>-'Debt Schedule'!E27</f>
        <v/>
      </c>
      <c r="F16" s="3">
        <f>-'Debt Schedule'!F27</f>
        <v/>
      </c>
      <c r="G16" s="3">
        <f>-'Debt Schedule'!G27</f>
        <v/>
      </c>
      <c r="H16" s="3">
        <f>-'Debt Schedule'!H27</f>
        <v/>
      </c>
      <c r="I16" s="3">
        <f>-'Debt Schedule'!I27</f>
        <v/>
      </c>
      <c r="J16" s="3">
        <f>-'Debt Schedule'!J27</f>
        <v/>
      </c>
      <c r="K16" s="3">
        <f>-'Debt Schedule'!K27</f>
        <v/>
      </c>
    </row>
    <row r="17">
      <c r="A17" t="inlineStr"/>
    </row>
    <row r="18">
      <c r="A18" s="23" t="inlineStr">
        <is>
          <t>EBT</t>
        </is>
      </c>
      <c r="B18" s="3">
        <f>B13+B16</f>
        <v/>
      </c>
      <c r="C18" s="3">
        <f>B13+B16</f>
        <v/>
      </c>
      <c r="D18" s="3">
        <f>B13+B16</f>
        <v/>
      </c>
      <c r="E18" s="3">
        <f>B13+B16</f>
        <v/>
      </c>
      <c r="F18" s="3">
        <f>B13+B16</f>
        <v/>
      </c>
      <c r="G18" s="3">
        <f>B13+B16</f>
        <v/>
      </c>
      <c r="H18" s="3">
        <f>B13+B16</f>
        <v/>
      </c>
      <c r="I18" s="3">
        <f>B13+B16</f>
        <v/>
      </c>
      <c r="J18" s="3">
        <f>B13+B16</f>
        <v/>
      </c>
      <c r="K18" s="3">
        <f>B13+B16</f>
        <v/>
      </c>
    </row>
    <row r="19">
      <c r="A19" t="inlineStr"/>
    </row>
    <row r="20">
      <c r="A20" t="inlineStr">
        <is>
          <t>Tax expense</t>
        </is>
      </c>
      <c r="B20" s="3">
        <f>0</f>
        <v/>
      </c>
      <c r="C20" s="3">
        <f>0</f>
        <v/>
      </c>
      <c r="D20" s="3">
        <f>0</f>
        <v/>
      </c>
      <c r="E20" s="3">
        <f>0</f>
        <v/>
      </c>
      <c r="F20" s="3">
        <f>0</f>
        <v/>
      </c>
      <c r="G20" s="3">
        <f>0</f>
        <v/>
      </c>
      <c r="H20" s="3">
        <f>0</f>
        <v/>
      </c>
      <c r="I20" s="3">
        <f>0</f>
        <v/>
      </c>
      <c r="J20" s="3">
        <f>0</f>
        <v/>
      </c>
      <c r="K20" s="3">
        <f>0</f>
        <v/>
      </c>
    </row>
    <row r="21">
      <c r="A21" t="inlineStr"/>
    </row>
    <row r="22">
      <c r="A22" s="23" t="inlineStr">
        <is>
          <t>Net Income</t>
        </is>
      </c>
      <c r="B22" s="3">
        <f>B18+B21</f>
        <v/>
      </c>
      <c r="C22" s="3">
        <f>B18+B21</f>
        <v/>
      </c>
      <c r="D22" s="3">
        <f>B18+B21</f>
        <v/>
      </c>
      <c r="E22" s="3">
        <f>B18+B21</f>
        <v/>
      </c>
      <c r="F22" s="3">
        <f>B18+B21</f>
        <v/>
      </c>
      <c r="G22" s="3">
        <f>B18+B21</f>
        <v/>
      </c>
      <c r="H22" s="3">
        <f>B18+B21</f>
        <v/>
      </c>
      <c r="I22" s="3">
        <f>B18+B21</f>
        <v/>
      </c>
      <c r="J22" s="3">
        <f>B18+B21</f>
        <v/>
      </c>
      <c r="K22" s="3">
        <f>B18+B21</f>
        <v/>
      </c>
    </row>
    <row r="23">
      <c r="A23" t="inlineStr">
        <is>
          <t>Net margin (%)</t>
        </is>
      </c>
      <c r="B23" s="5">
        <f>B23/B4*100</f>
        <v/>
      </c>
      <c r="C23" s="5">
        <f>B23/B4*100</f>
        <v/>
      </c>
      <c r="D23" s="5">
        <f>B23/B4*100</f>
        <v/>
      </c>
      <c r="E23" s="5">
        <f>B23/B4*100</f>
        <v/>
      </c>
      <c r="F23" s="5">
        <f>B23/B4*100</f>
        <v/>
      </c>
      <c r="G23" s="5">
        <f>B23/B4*100</f>
        <v/>
      </c>
      <c r="H23" s="5">
        <f>B23/B4*100</f>
        <v/>
      </c>
      <c r="I23" s="5">
        <f>B23/B4*100</f>
        <v/>
      </c>
      <c r="J23" s="5">
        <f>B23/B4*100</f>
        <v/>
      </c>
      <c r="K23" s="5">
        <f>B23/B4*100</f>
        <v/>
      </c>
    </row>
  </sheetData>
  <mergeCells count="1"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5" customWidth="1" min="1" max="1"/>
    <col width="5" customWidth="1" min="2" max="2"/>
    <col width="20" customWidth="1" min="3" max="3"/>
  </cols>
  <sheetData>
    <row r="1">
      <c r="A1" s="7" t="inlineStr">
        <is>
          <t>RETURNS &amp; FINANCIAL RATIOS</t>
        </is>
      </c>
    </row>
    <row r="3">
      <c r="A3" s="18" t="inlineStr">
        <is>
          <t>PROJECT RETURNS</t>
        </is>
      </c>
    </row>
    <row r="4">
      <c r="A4" t="inlineStr">
        <is>
          <t>Project IRR (%)</t>
        </is>
      </c>
      <c r="C4" s="5">
        <f>IRR('Cash Flow'!C50:L50)</f>
        <v/>
      </c>
    </row>
    <row r="5">
      <c r="A5" t="inlineStr">
        <is>
          <t>Equity IRR (%)</t>
        </is>
      </c>
      <c r="C5" s="5">
        <f>IRR('Cash Flow'!C52:L52)</f>
        <v/>
      </c>
    </row>
    <row r="6">
      <c r="A6" t="inlineStr">
        <is>
          <t>NPV @ 12% (XAF)</t>
        </is>
      </c>
      <c r="C6" s="3">
        <f>NPV(12%,'Cash Flow'!D50:L50)+'Cash Flow'!C50</f>
        <v/>
      </c>
    </row>
    <row r="7">
      <c r="A7" t="inlineStr">
        <is>
          <t>Payback period (years)</t>
        </is>
      </c>
    </row>
    <row r="8">
      <c r="A8" t="inlineStr"/>
    </row>
    <row r="9">
      <c r="A9" s="18" t="inlineStr">
        <is>
          <t>PROFITABILITY RATIOS</t>
        </is>
      </c>
    </row>
    <row r="10">
      <c r="A10" t="inlineStr">
        <is>
          <t>Average EBITDA margin (%)</t>
        </is>
      </c>
      <c r="C10" s="5">
        <f>AVERAGE('P&amp;L Statement'!C9:L9)</f>
        <v/>
      </c>
    </row>
    <row r="11">
      <c r="A11" t="inlineStr">
        <is>
          <t>Average net margin (%)</t>
        </is>
      </c>
      <c r="C11" s="5">
        <f>AVERAGE('P&amp;L Statement'!C24:L24)</f>
        <v/>
      </c>
    </row>
    <row r="12">
      <c r="A12" t="inlineStr">
        <is>
          <t>Return on assets (%)</t>
        </is>
      </c>
    </row>
    <row r="13">
      <c r="A13" t="inlineStr">
        <is>
          <t>Return on equity (%)</t>
        </is>
      </c>
    </row>
    <row r="14">
      <c r="A14" t="inlineStr"/>
    </row>
    <row r="15">
      <c r="A15" s="18" t="inlineStr">
        <is>
          <t>LEVERAGE RATIOS</t>
        </is>
      </c>
    </row>
    <row r="16">
      <c r="A16" t="inlineStr">
        <is>
          <t>Debt to equity (average)</t>
        </is>
      </c>
    </row>
    <row r="17">
      <c r="A17" t="inlineStr">
        <is>
          <t>Debt to EBITDA (Year 5)</t>
        </is>
      </c>
    </row>
    <row r="18">
      <c r="A18" t="inlineStr">
        <is>
          <t>Interest coverage (average)</t>
        </is>
      </c>
    </row>
    <row r="19">
      <c r="A19" t="inlineStr">
        <is>
          <t>DSCR - minimum</t>
        </is>
      </c>
    </row>
    <row r="20">
      <c r="A20" t="inlineStr">
        <is>
          <t>DSCR - average</t>
        </is>
      </c>
    </row>
    <row r="21">
      <c r="A21" t="inlineStr"/>
    </row>
    <row r="22">
      <c r="A22" s="18" t="inlineStr">
        <is>
          <t>OPERATIONAL METRICS</t>
        </is>
      </c>
    </row>
    <row r="23">
      <c r="A23" t="inlineStr">
        <is>
          <t>Revenue CAGR (%)</t>
        </is>
      </c>
    </row>
    <row r="24">
      <c r="A24" t="inlineStr">
        <is>
          <t>EBITDA CAGR (%)</t>
        </is>
      </c>
    </row>
    <row r="25">
      <c r="A25" t="inlineStr">
        <is>
          <t>Capacity utilization (Year 5, %)</t>
        </is>
      </c>
      <c r="C25" s="5">
        <f>Assumptions!$C$52</f>
        <v/>
      </c>
    </row>
    <row r="26">
      <c r="A26" t="inlineStr"/>
    </row>
    <row r="27">
      <c r="A27" s="18" t="inlineStr">
        <is>
          <t>VALUATION</t>
        </is>
      </c>
    </row>
    <row r="28">
      <c r="A28" t="inlineStr">
        <is>
          <t>Terminal value (XAF)</t>
        </is>
      </c>
    </row>
    <row r="29">
      <c r="A29" t="inlineStr">
        <is>
          <t>Enterprise value (XAF)</t>
        </is>
      </c>
    </row>
    <row r="30">
      <c r="A30" t="inlineStr">
        <is>
          <t>Equity value (XAF)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7" t="inlineStr">
        <is>
          <t>SENSITIVITY ANALYSIS</t>
        </is>
      </c>
    </row>
    <row r="3">
      <c r="A3" s="23" t="inlineStr">
        <is>
          <t>KEY ASSUMPTIONS TO TEST:</t>
        </is>
      </c>
    </row>
    <row r="4">
      <c r="A4" t="inlineStr">
        <is>
          <t>1. Yield per hectare (±20%)</t>
        </is>
      </c>
    </row>
    <row r="5">
      <c r="A5" t="inlineStr">
        <is>
          <t>2. Product pricing (±15%)</t>
        </is>
      </c>
    </row>
    <row r="6">
      <c r="A6" t="inlineStr">
        <is>
          <t>3. CAPEX costs (±15%)</t>
        </is>
      </c>
    </row>
    <row r="7">
      <c r="A7" t="inlineStr">
        <is>
          <t>4. Operating costs (±10%)</t>
        </is>
      </c>
    </row>
    <row r="8">
      <c r="A8" t="inlineStr">
        <is>
          <t>5. Capacity utilization (±10%)</t>
        </is>
      </c>
    </row>
    <row r="9">
      <c r="A9" t="inlineStr">
        <is>
          <t>6. Interest rates (±200 bps)</t>
        </is>
      </c>
    </row>
    <row r="10">
      <c r="A10" t="inlineStr">
        <is>
          <t>7. Ramp-up timing (±6 months)</t>
        </is>
      </c>
    </row>
    <row r="13">
      <c r="A13" s="24" t="inlineStr">
        <is>
          <t>SCENARIO SUMMARY</t>
        </is>
      </c>
    </row>
    <row r="14">
      <c r="A14" s="21" t="inlineStr">
        <is>
          <t>Scenario</t>
        </is>
      </c>
      <c r="B14" s="21" t="inlineStr">
        <is>
          <t>Project IRR</t>
        </is>
      </c>
      <c r="C14" s="21" t="inlineStr">
        <is>
          <t>Equity IRR</t>
        </is>
      </c>
      <c r="D14" s="21" t="inlineStr">
        <is>
          <t>NPV (XAF M)</t>
        </is>
      </c>
      <c r="E14" s="21" t="inlineStr">
        <is>
          <t>Min DSCR</t>
        </is>
      </c>
      <c r="F14" s="21" t="inlineStr">
        <is>
          <t>Payback</t>
        </is>
      </c>
    </row>
    <row r="15">
      <c r="A15" t="inlineStr">
        <is>
          <t>Base Case</t>
        </is>
      </c>
    </row>
    <row r="16">
      <c r="A16" t="inlineStr">
        <is>
          <t>Downside</t>
        </is>
      </c>
    </row>
    <row r="17">
      <c r="A17" t="inlineStr">
        <is>
          <t>Upside</t>
        </is>
      </c>
    </row>
  </sheetData>
  <mergeCells count="2">
    <mergeCell ref="A13:F13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2026-01-23T17:06:42Z</dcterms:created>
  <dcterms:modified xsi:type="dcterms:W3CDTF">2026-01-23T17:06:42Z</dcterms:modified>
</cp:coreProperties>
</file>